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udrinayoo\Documents\AR\"/>
    </mc:Choice>
  </mc:AlternateContent>
  <xr:revisionPtr revIDLastSave="0" documentId="13_ncr:1_{421E4730-9878-4FF0-996D-A6629EFA50F0}" xr6:coauthVersionLast="47" xr6:coauthVersionMax="47" xr10:uidLastSave="{00000000-0000-0000-0000-000000000000}"/>
  <bookViews>
    <workbookView xWindow="-110" yWindow="-110" windowWidth="19420" windowHeight="10300" tabRatio="878" firstSheet="57" activeTab="64" xr2:uid="{7670AA8A-1E03-4157-8A22-5E6B2AEAD7CD}"/>
  </bookViews>
  <sheets>
    <sheet name="Inv1661-1-2 Yew Seng" sheetId="1" r:id="rId1"/>
    <sheet name="Inv1662 Truck &amp; Dash" sheetId="2" r:id="rId2"/>
    <sheet name="Inv1663 Fibra Sahih" sheetId="3" r:id="rId3"/>
    <sheet name="Inv1664 Welltech" sheetId="4" r:id="rId4"/>
    <sheet name="Inv1665 Sunfiber" sheetId="5" r:id="rId5"/>
    <sheet name="Inv1666 Welltech" sheetId="6" r:id="rId6"/>
    <sheet name="Inv1667 Cash Razzak" sheetId="7" r:id="rId7"/>
    <sheet name="Inv1668 Welltech" sheetId="8" r:id="rId8"/>
    <sheet name="Inv1669 Kelnico" sheetId="9" r:id="rId9"/>
    <sheet name="Inv1670 Desuki" sheetId="10" r:id="rId10"/>
    <sheet name="Inv1671 Welltech" sheetId="11" r:id="rId11"/>
    <sheet name="Inv1672 Pandian" sheetId="12" r:id="rId12"/>
    <sheet name="Inv1673 Sunfiber" sheetId="13" r:id="rId13"/>
    <sheet name="Inv1674 YL" sheetId="14" r:id="rId14"/>
    <sheet name="Inv1675 Welltech" sheetId="15" r:id="rId15"/>
    <sheet name="Inv1676 PMC" sheetId="16" r:id="rId16"/>
    <sheet name="Inv1677 Welltech" sheetId="17" r:id="rId17"/>
    <sheet name="Inv1678 Fibra Sahih" sheetId="18" r:id="rId18"/>
    <sheet name="Inv1679 Welltech" sheetId="19" r:id="rId19"/>
    <sheet name="Inv1680-1-2 Yew Seng" sheetId="20" r:id="rId20"/>
    <sheet name="Inv1681 YL" sheetId="21" r:id="rId21"/>
    <sheet name="Inv1682 Welltech" sheetId="22" r:id="rId22"/>
    <sheet name="Inv1683 Pioneer" sheetId="23" r:id="rId23"/>
    <sheet name="Inv1684 Sunfiber" sheetId="24" r:id="rId24"/>
    <sheet name="Inv1685 Welltech" sheetId="25" r:id="rId25"/>
    <sheet name="Inv1686 Kelnico" sheetId="26" r:id="rId26"/>
    <sheet name="Inv1687 Kelnico" sheetId="27" r:id="rId27"/>
    <sheet name="Inv1688 Cash Razzak" sheetId="28" r:id="rId28"/>
    <sheet name="Inv1689 Welltech" sheetId="29" r:id="rId29"/>
    <sheet name="Inv1690 Sunfiber" sheetId="30" r:id="rId30"/>
    <sheet name="Inv1691 YL" sheetId="31" r:id="rId31"/>
    <sheet name="Inv1692 Transform " sheetId="32" r:id="rId32"/>
    <sheet name="Inv1693 Welltech" sheetId="33" r:id="rId33"/>
    <sheet name="Inv1694 Pro-Art" sheetId="34" r:id="rId34"/>
    <sheet name="Inv1695 Berkat" sheetId="35" r:id="rId35"/>
    <sheet name="Inv1696 Welltech" sheetId="46" r:id="rId36"/>
    <sheet name="Inv1697 Desuki" sheetId="36" r:id="rId37"/>
    <sheet name="Inv1698 Welltech" sheetId="37" r:id="rId38"/>
    <sheet name="Inv1699 Sunfiber" sheetId="38" r:id="rId39"/>
    <sheet name="Inv1700 Pandian" sheetId="39" r:id="rId40"/>
    <sheet name="Inv1701 Welltech" sheetId="40" r:id="rId41"/>
    <sheet name="Inv1702 Sunfiber " sheetId="41" r:id="rId42"/>
    <sheet name="Inv1703 Pandian" sheetId="42" r:id="rId43"/>
    <sheet name="Inv1704 Selesa" sheetId="43" r:id="rId44"/>
    <sheet name="Inv1705 Berkat" sheetId="44" r:id="rId45"/>
    <sheet name="Inv1706 Welltech " sheetId="45" r:id="rId46"/>
    <sheet name="Inv1707 Yew Seng" sheetId="47" r:id="rId47"/>
    <sheet name="Inv1708 Welltech" sheetId="48" r:id="rId48"/>
    <sheet name="Inv1709 Welltech" sheetId="49" r:id="rId49"/>
    <sheet name="Inv1710 Cash Razzak" sheetId="50" r:id="rId50"/>
    <sheet name="Inv1711 Welltech" sheetId="51" r:id="rId51"/>
    <sheet name="Inv1712 Welltech" sheetId="52" r:id="rId52"/>
    <sheet name="Inv1713-1-2 Yew Seng" sheetId="54" r:id="rId53"/>
    <sheet name="Inv1714 Cash Razzak" sheetId="58" r:id="rId54"/>
    <sheet name="Inv1715 Sunfiber" sheetId="56" r:id="rId55"/>
    <sheet name="Inv1716 Welltech" sheetId="57" r:id="rId56"/>
    <sheet name="Inv1717 YL" sheetId="59" r:id="rId57"/>
    <sheet name="Inv1718 Welltech" sheetId="60" r:id="rId58"/>
    <sheet name="Inv1719 Airebus " sheetId="55" r:id="rId59"/>
    <sheet name="Inv1720 YL" sheetId="65" r:id="rId60"/>
    <sheet name="Inv1721 Berkat" sheetId="63" r:id="rId61"/>
    <sheet name="Inv1722 Welltech" sheetId="64" r:id="rId62"/>
    <sheet name="Inv1723 Sunfiber" sheetId="66" r:id="rId63"/>
    <sheet name="Inv1724 Welltech" sheetId="67" r:id="rId64"/>
    <sheet name="Inv1725 Pro-Art" sheetId="68" r:id="rId65"/>
  </sheets>
  <definedNames>
    <definedName name="_xlnm._FilterDatabase" localSheetId="3" hidden="1">'Inv1664 Welltech'!$S$30:$U$34</definedName>
    <definedName name="_xlnm._FilterDatabase" localSheetId="5" hidden="1">'Inv1666 Welltech'!$S$30:$U$34</definedName>
    <definedName name="_xlnm._FilterDatabase" localSheetId="7" hidden="1">'Inv1668 Welltech'!$S$30:$U$34</definedName>
    <definedName name="_xlnm._FilterDatabase" localSheetId="9" hidden="1">'Inv1670 Desuki'!$A$23:$A$30</definedName>
    <definedName name="_xlnm._FilterDatabase" localSheetId="10" hidden="1">'Inv1671 Welltech'!$T$30:$V$34</definedName>
    <definedName name="_xlnm._FilterDatabase" localSheetId="11" hidden="1">'Inv1672 Pandian'!$V$54:$X$58</definedName>
    <definedName name="_xlnm._FilterDatabase" localSheetId="14" hidden="1">'Inv1675 Welltech'!$T$30:$V$34</definedName>
    <definedName name="_xlnm._FilterDatabase" localSheetId="16" hidden="1">'Inv1677 Welltech'!$T$30:$V$34</definedName>
    <definedName name="_xlnm._FilterDatabase" localSheetId="18" hidden="1">'Inv1679 Welltech'!$T$30:$V$34</definedName>
    <definedName name="_xlnm._FilterDatabase" localSheetId="21" hidden="1">'Inv1682 Welltech'!$T$30:$V$34</definedName>
    <definedName name="_xlnm._FilterDatabase" localSheetId="24" hidden="1">'Inv1685 Welltech'!$T$30:$V$65</definedName>
    <definedName name="_xlnm._FilterDatabase" localSheetId="28" hidden="1">'Inv1689 Welltech'!$T$30:$V$65</definedName>
    <definedName name="_xlnm._FilterDatabase" localSheetId="32" hidden="1">'Inv1693 Welltech'!$T$30:$V$65</definedName>
    <definedName name="_xlnm._FilterDatabase" localSheetId="35" hidden="1">'Inv1696 Welltech'!$T$30:$V$65</definedName>
    <definedName name="_xlnm._FilterDatabase" localSheetId="36" hidden="1">'Inv1697 Desuki'!$A$23:$A$30</definedName>
    <definedName name="_xlnm._FilterDatabase" localSheetId="37" hidden="1">'Inv1698 Welltech'!$T$30:$V$65</definedName>
    <definedName name="_xlnm._FilterDatabase" localSheetId="39" hidden="1">'Inv1700 Pandian'!$V$54:$X$58</definedName>
    <definedName name="_xlnm._FilterDatabase" localSheetId="40" hidden="1">'Inv1701 Welltech'!$T$30:$V$65</definedName>
    <definedName name="_xlnm._FilterDatabase" localSheetId="42" hidden="1">'Inv1703 Pandian'!$V$54:$X$58</definedName>
    <definedName name="_xlnm._FilterDatabase" localSheetId="43" hidden="1">'Inv1704 Selesa'!$V$54:$X$58</definedName>
    <definedName name="_xlnm._FilterDatabase" localSheetId="45" hidden="1">'Inv1706 Welltech '!$T$30:$V$65</definedName>
    <definedName name="_xlnm._FilterDatabase" localSheetId="47" hidden="1">'Inv1708 Welltech'!$T$30:$V$65</definedName>
    <definedName name="_xlnm._FilterDatabase" localSheetId="48" hidden="1">'Inv1709 Welltech'!$T$30:$V$65</definedName>
    <definedName name="_xlnm._FilterDatabase" localSheetId="50" hidden="1">'Inv1711 Welltech'!$T$30:$V$66</definedName>
    <definedName name="_xlnm._FilterDatabase" localSheetId="51" hidden="1">'Inv1712 Welltech'!$T$30:$V$66</definedName>
    <definedName name="_xlnm._FilterDatabase" localSheetId="55" hidden="1">'Inv1716 Welltech'!$T$30:$V$66</definedName>
    <definedName name="_xlnm._FilterDatabase" localSheetId="57" hidden="1">'Inv1718 Welltech'!$T$30:$V$66</definedName>
    <definedName name="_xlnm._FilterDatabase" localSheetId="61" hidden="1">'Inv1722 Welltech'!$U$30:$W$31</definedName>
    <definedName name="_xlnm._FilterDatabase" localSheetId="63" hidden="1">'Inv1724 Welltech'!$U$30:$W$31</definedName>
    <definedName name="_xlnm.Print_Area" localSheetId="0">'Inv1661-1-2 Yew Seng'!$A$1:$O$65</definedName>
    <definedName name="_xlnm.Print_Area" localSheetId="1">'Inv1662 Truck &amp; Dash'!$A$1:$O$65</definedName>
    <definedName name="_xlnm.Print_Area" localSheetId="2">'Inv1663 Fibra Sahih'!$A$1:$O$65</definedName>
    <definedName name="_xlnm.Print_Area" localSheetId="3">'Inv1664 Welltech'!$A$1:$O$65</definedName>
    <definedName name="_xlnm.Print_Area" localSheetId="4">'Inv1665 Sunfiber'!$A$1:$O$65</definedName>
    <definedName name="_xlnm.Print_Area" localSheetId="5">'Inv1666 Welltech'!$A$1:$O$65</definedName>
    <definedName name="_xlnm.Print_Area" localSheetId="6">'Inv1667 Cash Razzak'!$A$1:$O$65</definedName>
    <definedName name="_xlnm.Print_Area" localSheetId="7">'Inv1668 Welltech'!$A$1:$O$65</definedName>
    <definedName name="_xlnm.Print_Area" localSheetId="8">'Inv1669 Kelnico'!$A$1:$O$65</definedName>
    <definedName name="_xlnm.Print_Area" localSheetId="9">'Inv1670 Desuki'!$A$1:$O$65</definedName>
    <definedName name="_xlnm.Print_Area" localSheetId="10">'Inv1671 Welltech'!$A$1:$O$65</definedName>
    <definedName name="_xlnm.Print_Area" localSheetId="11">'Inv1672 Pandian'!$A$1:$O$65</definedName>
    <definedName name="_xlnm.Print_Area" localSheetId="12">'Inv1673 Sunfiber'!$A$1:$O$65</definedName>
    <definedName name="_xlnm.Print_Area" localSheetId="13">'Inv1674 YL'!$A$1:$O$65</definedName>
    <definedName name="_xlnm.Print_Area" localSheetId="14">'Inv1675 Welltech'!$A$1:$O$65</definedName>
    <definedName name="_xlnm.Print_Area" localSheetId="15">'Inv1676 PMC'!$A$1:$O$65</definedName>
    <definedName name="_xlnm.Print_Area" localSheetId="16">'Inv1677 Welltech'!$A$1:$O$65</definedName>
    <definedName name="_xlnm.Print_Area" localSheetId="17">'Inv1678 Fibra Sahih'!$A$1:$O$65</definedName>
    <definedName name="_xlnm.Print_Area" localSheetId="18">'Inv1679 Welltech'!$A$1:$O$65</definedName>
    <definedName name="_xlnm.Print_Area" localSheetId="19">'Inv1680-1-2 Yew Seng'!$A$1:$O$65</definedName>
    <definedName name="_xlnm.Print_Area" localSheetId="20">'Inv1681 YL'!$A$1:$O$65</definedName>
    <definedName name="_xlnm.Print_Area" localSheetId="21">'Inv1682 Welltech'!$A$1:$O$65</definedName>
    <definedName name="_xlnm.Print_Area" localSheetId="22">'Inv1683 Pioneer'!$A$1:$O$65</definedName>
    <definedName name="_xlnm.Print_Area" localSheetId="23">'Inv1684 Sunfiber'!$A$1:$O$65</definedName>
    <definedName name="_xlnm.Print_Area" localSheetId="24">'Inv1685 Welltech'!$A$1:$O$65</definedName>
    <definedName name="_xlnm.Print_Area" localSheetId="25">'Inv1686 Kelnico'!$A$1:$O$65</definedName>
    <definedName name="_xlnm.Print_Area" localSheetId="26">'Inv1687 Kelnico'!$A$1:$O$65</definedName>
    <definedName name="_xlnm.Print_Area" localSheetId="27">'Inv1688 Cash Razzak'!$A$1:$O$65</definedName>
    <definedName name="_xlnm.Print_Area" localSheetId="28">'Inv1689 Welltech'!$A$1:$O$65</definedName>
    <definedName name="_xlnm.Print_Area" localSheetId="29">'Inv1690 Sunfiber'!$A$1:$O$65</definedName>
    <definedName name="_xlnm.Print_Area" localSheetId="30">'Inv1691 YL'!$A$1:$O$65</definedName>
    <definedName name="_xlnm.Print_Area" localSheetId="31">'Inv1692 Transform '!$A$1:$O$65</definedName>
    <definedName name="_xlnm.Print_Area" localSheetId="32">'Inv1693 Welltech'!$A$1:$O$65</definedName>
    <definedName name="_xlnm.Print_Area" localSheetId="33">'Inv1694 Pro-Art'!$A$1:$O$65</definedName>
    <definedName name="_xlnm.Print_Area" localSheetId="34">'Inv1695 Berkat'!$A$1:$O$65</definedName>
    <definedName name="_xlnm.Print_Area" localSheetId="35">'Inv1696 Welltech'!$A$1:$O$65</definedName>
    <definedName name="_xlnm.Print_Area" localSheetId="36">'Inv1697 Desuki'!$A$1:$O$65</definedName>
    <definedName name="_xlnm.Print_Area" localSheetId="37">'Inv1698 Welltech'!$A$1:$O$65</definedName>
    <definedName name="_xlnm.Print_Area" localSheetId="38">'Inv1699 Sunfiber'!$A$1:$O$65</definedName>
    <definedName name="_xlnm.Print_Area" localSheetId="39">'Inv1700 Pandian'!$A$1:$O$65</definedName>
    <definedName name="_xlnm.Print_Area" localSheetId="40">'Inv1701 Welltech'!$A$1:$O$65</definedName>
    <definedName name="_xlnm.Print_Area" localSheetId="41">'Inv1702 Sunfiber '!$A$1:$O$65</definedName>
    <definedName name="_xlnm.Print_Area" localSheetId="42">'Inv1703 Pandian'!$A$1:$O$65</definedName>
    <definedName name="_xlnm.Print_Area" localSheetId="43">'Inv1704 Selesa'!$A$1:$O$65</definedName>
    <definedName name="_xlnm.Print_Area" localSheetId="44">'Inv1705 Berkat'!$A$1:$O$65</definedName>
    <definedName name="_xlnm.Print_Area" localSheetId="45">'Inv1706 Welltech '!$A$1:$O$65</definedName>
    <definedName name="_xlnm.Print_Area" localSheetId="46">'Inv1707 Yew Seng'!$A$1:$O$65</definedName>
    <definedName name="_xlnm.Print_Area" localSheetId="47">'Inv1708 Welltech'!$A$1:$O$65</definedName>
    <definedName name="_xlnm.Print_Area" localSheetId="48">'Inv1709 Welltech'!$A$1:$O$65</definedName>
    <definedName name="_xlnm.Print_Area" localSheetId="49">'Inv1710 Cash Razzak'!$A$1:$O$65</definedName>
    <definedName name="_xlnm.Print_Area" localSheetId="50">'Inv1711 Welltech'!$A$1:$O$65</definedName>
    <definedName name="_xlnm.Print_Area" localSheetId="51">'Inv1712 Welltech'!$A$1:$O$65</definedName>
    <definedName name="_xlnm.Print_Area" localSheetId="52">'Inv1713-1-2 Yew Seng'!$A$1:$O$65</definedName>
    <definedName name="_xlnm.Print_Area" localSheetId="53">'Inv1714 Cash Razzak'!$A$1:$O$65</definedName>
    <definedName name="_xlnm.Print_Area" localSheetId="54">'Inv1715 Sunfiber'!$A$1:$O$65</definedName>
    <definedName name="_xlnm.Print_Area" localSheetId="55">'Inv1716 Welltech'!$A$1:$O$65</definedName>
    <definedName name="_xlnm.Print_Area" localSheetId="56">'Inv1717 YL'!$A$1:$O$65</definedName>
    <definedName name="_xlnm.Print_Area" localSheetId="57">'Inv1718 Welltech'!$A$1:$O$65</definedName>
    <definedName name="_xlnm.Print_Area" localSheetId="58">'Inv1719 Airebus '!$A$1:$O$65</definedName>
    <definedName name="_xlnm.Print_Area" localSheetId="59">'Inv1720 YL'!$A$1:$O$65</definedName>
    <definedName name="_xlnm.Print_Area" localSheetId="60">'Inv1721 Berkat'!$A$1:$O$65</definedName>
    <definedName name="_xlnm.Print_Area" localSheetId="61">'Inv1722 Welltech'!$A$1:$O$65</definedName>
    <definedName name="_xlnm.Print_Area" localSheetId="62">'Inv1723 Sunfiber'!$A$1:$O$65</definedName>
    <definedName name="_xlnm.Print_Area" localSheetId="63">'Inv1724 Welltech'!$A$1:$O$65</definedName>
    <definedName name="_xlnm.Print_Area" localSheetId="64">'Inv1725 Pro-Art'!$A$1:$O$65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2" i="68" l="1"/>
  <c r="O31" i="68" l="1"/>
  <c r="O29" i="68"/>
  <c r="O30" i="68"/>
  <c r="O28" i="68"/>
  <c r="O27" i="68" l="1"/>
  <c r="O26" i="68" l="1"/>
  <c r="O25" i="68"/>
  <c r="O24" i="68"/>
  <c r="O23" i="68"/>
  <c r="O24" i="67"/>
  <c r="O25" i="67"/>
  <c r="O26" i="67"/>
  <c r="O27" i="67"/>
  <c r="W53" i="67"/>
  <c r="X48" i="67"/>
  <c r="AA32" i="67"/>
  <c r="AA33" i="67" s="1"/>
  <c r="AA34" i="67" s="1"/>
  <c r="AA35" i="67" s="1"/>
  <c r="AA36" i="67" s="1"/>
  <c r="AA37" i="67" s="1"/>
  <c r="AA38" i="67" s="1"/>
  <c r="AA39" i="67" s="1"/>
  <c r="AA40" i="67" s="1"/>
  <c r="AA41" i="67" s="1"/>
  <c r="AA42" i="67" s="1"/>
  <c r="AA43" i="67" s="1"/>
  <c r="AA44" i="67" s="1"/>
  <c r="AA45" i="67" s="1"/>
  <c r="AA46" i="67" s="1"/>
  <c r="AA47" i="67" s="1"/>
  <c r="AA48" i="67" s="1"/>
  <c r="AA49" i="67" s="1"/>
  <c r="AA50" i="67" s="1"/>
  <c r="AA51" i="67" s="1"/>
  <c r="AA52" i="67" s="1"/>
  <c r="Z32" i="67"/>
  <c r="Z33" i="67" s="1"/>
  <c r="Z34" i="67" s="1"/>
  <c r="Z35" i="67" s="1"/>
  <c r="Z36" i="67" s="1"/>
  <c r="Z37" i="67" s="1"/>
  <c r="Z38" i="67" s="1"/>
  <c r="Z39" i="67" s="1"/>
  <c r="Z40" i="67" s="1"/>
  <c r="Z41" i="67" s="1"/>
  <c r="Z42" i="67" s="1"/>
  <c r="Z43" i="67" s="1"/>
  <c r="Z44" i="67" s="1"/>
  <c r="Z45" i="67" s="1"/>
  <c r="Z46" i="67" s="1"/>
  <c r="Z47" i="67" s="1"/>
  <c r="Z48" i="67" s="1"/>
  <c r="Z49" i="67" s="1"/>
  <c r="Z50" i="67" s="1"/>
  <c r="Z51" i="67" s="1"/>
  <c r="Z52" i="67" s="1"/>
  <c r="O23" i="67"/>
  <c r="O25" i="66"/>
  <c r="O24" i="66"/>
  <c r="O23" i="66"/>
  <c r="O27" i="64"/>
  <c r="O23" i="65"/>
  <c r="O54" i="65" s="1"/>
  <c r="W53" i="64"/>
  <c r="X48" i="64"/>
  <c r="AA32" i="64"/>
  <c r="AA33" i="64" s="1"/>
  <c r="AA34" i="64" s="1"/>
  <c r="AA35" i="64" s="1"/>
  <c r="AA36" i="64" s="1"/>
  <c r="AA37" i="64" s="1"/>
  <c r="AA38" i="64" s="1"/>
  <c r="AA39" i="64" s="1"/>
  <c r="AA40" i="64" s="1"/>
  <c r="AA41" i="64" s="1"/>
  <c r="AA42" i="64" s="1"/>
  <c r="AA43" i="64" s="1"/>
  <c r="AA44" i="64" s="1"/>
  <c r="AA45" i="64" s="1"/>
  <c r="AA46" i="64" s="1"/>
  <c r="AA47" i="64" s="1"/>
  <c r="AA48" i="64" s="1"/>
  <c r="AA49" i="64" s="1"/>
  <c r="AA50" i="64" s="1"/>
  <c r="AA51" i="64" s="1"/>
  <c r="AA52" i="64" s="1"/>
  <c r="Z32" i="64"/>
  <c r="Z33" i="64" s="1"/>
  <c r="Z34" i="64" s="1"/>
  <c r="Z35" i="64" s="1"/>
  <c r="Z36" i="64" s="1"/>
  <c r="Z37" i="64" s="1"/>
  <c r="Z38" i="64" s="1"/>
  <c r="Z39" i="64" s="1"/>
  <c r="Z40" i="64" s="1"/>
  <c r="Z41" i="64" s="1"/>
  <c r="Z42" i="64" s="1"/>
  <c r="Z43" i="64" s="1"/>
  <c r="Z44" i="64" s="1"/>
  <c r="Z45" i="64" s="1"/>
  <c r="Z46" i="64" s="1"/>
  <c r="Z47" i="64" s="1"/>
  <c r="Z48" i="64" s="1"/>
  <c r="Z49" i="64" s="1"/>
  <c r="Z50" i="64" s="1"/>
  <c r="Z51" i="64" s="1"/>
  <c r="Z52" i="64" s="1"/>
  <c r="O26" i="64"/>
  <c r="O25" i="64"/>
  <c r="O24" i="64"/>
  <c r="O23" i="64"/>
  <c r="O23" i="63"/>
  <c r="O54" i="63" s="1"/>
  <c r="O54" i="68" l="1"/>
  <c r="O54" i="67"/>
  <c r="O54" i="66"/>
  <c r="O54" i="64"/>
  <c r="W83" i="60"/>
  <c r="Z67" i="60"/>
  <c r="Z68" i="60" s="1"/>
  <c r="Z69" i="60" s="1"/>
  <c r="Z70" i="60" s="1"/>
  <c r="Z71" i="60" s="1"/>
  <c r="Z72" i="60" s="1"/>
  <c r="Z73" i="60" s="1"/>
  <c r="Z74" i="60" s="1"/>
  <c r="Z75" i="60" s="1"/>
  <c r="Z76" i="60" s="1"/>
  <c r="Z77" i="60" s="1"/>
  <c r="Z78" i="60" s="1"/>
  <c r="Z79" i="60" s="1"/>
  <c r="Z80" i="60" s="1"/>
  <c r="Z81" i="60" s="1"/>
  <c r="Z82" i="60" s="1"/>
  <c r="Z83" i="60" s="1"/>
  <c r="Z84" i="60" s="1"/>
  <c r="Z85" i="60" s="1"/>
  <c r="Z86" i="60" s="1"/>
  <c r="Y67" i="60"/>
  <c r="Y68" i="60" s="1"/>
  <c r="Y69" i="60" s="1"/>
  <c r="Y70" i="60" s="1"/>
  <c r="Y71" i="60" s="1"/>
  <c r="Y72" i="60" s="1"/>
  <c r="Y73" i="60" s="1"/>
  <c r="Y74" i="60" s="1"/>
  <c r="Y75" i="60" s="1"/>
  <c r="Y76" i="60" s="1"/>
  <c r="Y77" i="60" s="1"/>
  <c r="Y78" i="60" s="1"/>
  <c r="Y79" i="60" s="1"/>
  <c r="Y80" i="60" s="1"/>
  <c r="Y81" i="60" s="1"/>
  <c r="Y82" i="60" s="1"/>
  <c r="Y83" i="60" s="1"/>
  <c r="Y84" i="60" s="1"/>
  <c r="Y85" i="60" s="1"/>
  <c r="Y86" i="60" s="1"/>
  <c r="V51" i="60"/>
  <c r="V66" i="60" s="1"/>
  <c r="V87" i="60" s="1"/>
  <c r="O26" i="60"/>
  <c r="O25" i="60"/>
  <c r="O24" i="60"/>
  <c r="O23" i="60"/>
  <c r="O54" i="60" l="1"/>
  <c r="O25" i="59"/>
  <c r="O24" i="59"/>
  <c r="O23" i="59"/>
  <c r="O25" i="58"/>
  <c r="O24" i="58"/>
  <c r="O23" i="58"/>
  <c r="O25" i="56"/>
  <c r="O26" i="56"/>
  <c r="O54" i="59" l="1"/>
  <c r="O54" i="58"/>
  <c r="W83" i="57"/>
  <c r="Z67" i="57"/>
  <c r="Z68" i="57" s="1"/>
  <c r="Z69" i="57" s="1"/>
  <c r="Z70" i="57" s="1"/>
  <c r="Z71" i="57" s="1"/>
  <c r="Z72" i="57" s="1"/>
  <c r="Z73" i="57" s="1"/>
  <c r="Z74" i="57" s="1"/>
  <c r="Z75" i="57" s="1"/>
  <c r="Z76" i="57" s="1"/>
  <c r="Z77" i="57" s="1"/>
  <c r="Z78" i="57" s="1"/>
  <c r="Z79" i="57" s="1"/>
  <c r="Z80" i="57" s="1"/>
  <c r="Z81" i="57" s="1"/>
  <c r="Y67" i="57"/>
  <c r="Y68" i="57" s="1"/>
  <c r="Y69" i="57" s="1"/>
  <c r="Y70" i="57" s="1"/>
  <c r="Y71" i="57" s="1"/>
  <c r="Y72" i="57" s="1"/>
  <c r="Y73" i="57" s="1"/>
  <c r="Y74" i="57" s="1"/>
  <c r="Y75" i="57" s="1"/>
  <c r="Y76" i="57" s="1"/>
  <c r="Y77" i="57" s="1"/>
  <c r="Y78" i="57" s="1"/>
  <c r="Y79" i="57" s="1"/>
  <c r="Y80" i="57" s="1"/>
  <c r="Y81" i="57" s="1"/>
  <c r="V51" i="57"/>
  <c r="V66" i="57" s="1"/>
  <c r="V86" i="57" s="1"/>
  <c r="O26" i="57"/>
  <c r="O25" i="57"/>
  <c r="O24" i="57"/>
  <c r="O23" i="57"/>
  <c r="O24" i="56"/>
  <c r="O23" i="56"/>
  <c r="O54" i="57" l="1"/>
  <c r="O54" i="56"/>
  <c r="O23" i="55"/>
  <c r="O54" i="55" s="1"/>
  <c r="O30" i="54" l="1"/>
  <c r="O29" i="54" l="1"/>
  <c r="O28" i="54"/>
  <c r="O27" i="54"/>
  <c r="O26" i="54" l="1"/>
  <c r="O25" i="54"/>
  <c r="O24" i="54"/>
  <c r="O23" i="54"/>
  <c r="W83" i="52"/>
  <c r="Z67" i="52"/>
  <c r="Z68" i="52" s="1"/>
  <c r="Z69" i="52" s="1"/>
  <c r="Z70" i="52" s="1"/>
  <c r="Z71" i="52" s="1"/>
  <c r="Z72" i="52" s="1"/>
  <c r="Z73" i="52" s="1"/>
  <c r="Z74" i="52" s="1"/>
  <c r="Z75" i="52" s="1"/>
  <c r="Z76" i="52" s="1"/>
  <c r="Z77" i="52" s="1"/>
  <c r="Z78" i="52" s="1"/>
  <c r="Z79" i="52" s="1"/>
  <c r="Z80" i="52" s="1"/>
  <c r="Z81" i="52" s="1"/>
  <c r="Y67" i="52"/>
  <c r="Y68" i="52" s="1"/>
  <c r="Y69" i="52" s="1"/>
  <c r="Y70" i="52" s="1"/>
  <c r="Y71" i="52" s="1"/>
  <c r="Y72" i="52" s="1"/>
  <c r="Y73" i="52" s="1"/>
  <c r="Y74" i="52" s="1"/>
  <c r="Y75" i="52" s="1"/>
  <c r="Y76" i="52" s="1"/>
  <c r="Y77" i="52" s="1"/>
  <c r="Y78" i="52" s="1"/>
  <c r="Y79" i="52" s="1"/>
  <c r="Y80" i="52" s="1"/>
  <c r="Y81" i="52" s="1"/>
  <c r="V51" i="52"/>
  <c r="V66" i="52" s="1"/>
  <c r="V84" i="52" s="1"/>
  <c r="O27" i="52"/>
  <c r="O26" i="52"/>
  <c r="O25" i="52"/>
  <c r="O24" i="52"/>
  <c r="O23" i="52"/>
  <c r="Z67" i="51"/>
  <c r="Z68" i="51" s="1"/>
  <c r="Z69" i="51" s="1"/>
  <c r="Z70" i="51" s="1"/>
  <c r="Z71" i="51" s="1"/>
  <c r="Z72" i="51" s="1"/>
  <c r="Z73" i="51" s="1"/>
  <c r="Z74" i="51" s="1"/>
  <c r="Z75" i="51" s="1"/>
  <c r="Z76" i="51" s="1"/>
  <c r="Z77" i="51" s="1"/>
  <c r="Z78" i="51" s="1"/>
  <c r="Z79" i="51" s="1"/>
  <c r="Z80" i="51" s="1"/>
  <c r="Z81" i="51" s="1"/>
  <c r="Y67" i="51"/>
  <c r="Y68" i="51" s="1"/>
  <c r="Y69" i="51" s="1"/>
  <c r="Y70" i="51" s="1"/>
  <c r="Y71" i="51" s="1"/>
  <c r="Y72" i="51" s="1"/>
  <c r="Y73" i="51" s="1"/>
  <c r="Y74" i="51" s="1"/>
  <c r="Y75" i="51" s="1"/>
  <c r="Y76" i="51" s="1"/>
  <c r="Y77" i="51" s="1"/>
  <c r="Y78" i="51" s="1"/>
  <c r="Y79" i="51" s="1"/>
  <c r="Y80" i="51" s="1"/>
  <c r="Y81" i="51" s="1"/>
  <c r="W82" i="51"/>
  <c r="O54" i="54" l="1"/>
  <c r="O54" i="52"/>
  <c r="V51" i="51"/>
  <c r="V66" i="51" s="1"/>
  <c r="V82" i="51" s="1"/>
  <c r="O27" i="51"/>
  <c r="O26" i="51"/>
  <c r="O25" i="51"/>
  <c r="O24" i="51"/>
  <c r="O23" i="51"/>
  <c r="O26" i="50"/>
  <c r="O54" i="51" l="1"/>
  <c r="O25" i="50"/>
  <c r="O24" i="50"/>
  <c r="O23" i="50"/>
  <c r="V51" i="49"/>
  <c r="V65" i="49" s="1"/>
  <c r="O27" i="49"/>
  <c r="O26" i="49"/>
  <c r="O25" i="49"/>
  <c r="O24" i="49"/>
  <c r="O23" i="49"/>
  <c r="O27" i="48"/>
  <c r="V51" i="48"/>
  <c r="V65" i="48" s="1"/>
  <c r="O26" i="48"/>
  <c r="O25" i="48"/>
  <c r="O24" i="48"/>
  <c r="O23" i="48"/>
  <c r="O23" i="47"/>
  <c r="O54" i="47" s="1"/>
  <c r="V51" i="46"/>
  <c r="V65" i="46" s="1"/>
  <c r="O27" i="46"/>
  <c r="O26" i="46"/>
  <c r="O25" i="46"/>
  <c r="O24" i="46"/>
  <c r="O23" i="46"/>
  <c r="V51" i="45"/>
  <c r="V65" i="45" s="1"/>
  <c r="O26" i="45"/>
  <c r="O25" i="45"/>
  <c r="O24" i="45"/>
  <c r="O23" i="45"/>
  <c r="O26" i="44"/>
  <c r="O25" i="44"/>
  <c r="O24" i="44"/>
  <c r="O23" i="44"/>
  <c r="O54" i="44" s="1"/>
  <c r="O25" i="43"/>
  <c r="O24" i="43"/>
  <c r="O23" i="43"/>
  <c r="O23" i="42"/>
  <c r="O54" i="42" s="1"/>
  <c r="O28" i="41"/>
  <c r="O27" i="41"/>
  <c r="O26" i="41"/>
  <c r="O25" i="41"/>
  <c r="O24" i="41"/>
  <c r="O23" i="41"/>
  <c r="V51" i="40"/>
  <c r="V65" i="40" s="1"/>
  <c r="O26" i="40"/>
  <c r="O25" i="40"/>
  <c r="O24" i="40"/>
  <c r="O23" i="40"/>
  <c r="O54" i="40" s="1"/>
  <c r="O26" i="39"/>
  <c r="O25" i="39"/>
  <c r="O24" i="39"/>
  <c r="O23" i="39"/>
  <c r="O54" i="39" s="1"/>
  <c r="O24" i="38"/>
  <c r="O23" i="38"/>
  <c r="O54" i="38" s="1"/>
  <c r="V51" i="37"/>
  <c r="V65" i="37" s="1"/>
  <c r="O26" i="37"/>
  <c r="O25" i="37"/>
  <c r="O24" i="37"/>
  <c r="O23" i="37"/>
  <c r="O26" i="36"/>
  <c r="O25" i="36"/>
  <c r="O24" i="36"/>
  <c r="O23" i="36"/>
  <c r="O33" i="35"/>
  <c r="O32" i="35"/>
  <c r="O31" i="35"/>
  <c r="O30" i="35"/>
  <c r="O29" i="35"/>
  <c r="O28" i="35"/>
  <c r="O27" i="35"/>
  <c r="O26" i="35"/>
  <c r="O25" i="35"/>
  <c r="O24" i="35"/>
  <c r="O23" i="35"/>
  <c r="O26" i="34"/>
  <c r="O25" i="34"/>
  <c r="O24" i="34"/>
  <c r="O23" i="34"/>
  <c r="V51" i="33"/>
  <c r="V65" i="33" s="1"/>
  <c r="O27" i="33"/>
  <c r="O26" i="33"/>
  <c r="O25" i="33"/>
  <c r="O24" i="33"/>
  <c r="O23" i="33"/>
  <c r="O23" i="32"/>
  <c r="O54" i="32" s="1"/>
  <c r="O25" i="31"/>
  <c r="O24" i="31"/>
  <c r="O23" i="31"/>
  <c r="O54" i="31" s="1"/>
  <c r="O27" i="30"/>
  <c r="O26" i="30"/>
  <c r="O25" i="30"/>
  <c r="O24" i="30"/>
  <c r="O23" i="30"/>
  <c r="V51" i="29"/>
  <c r="V65" i="29" s="1"/>
  <c r="O28" i="29"/>
  <c r="O27" i="29"/>
  <c r="O26" i="29"/>
  <c r="O25" i="29"/>
  <c r="O24" i="29"/>
  <c r="O23" i="29"/>
  <c r="O25" i="28"/>
  <c r="O24" i="28"/>
  <c r="O23" i="28"/>
  <c r="O23" i="27"/>
  <c r="O54" i="27" s="1"/>
  <c r="O27" i="26"/>
  <c r="O26" i="26"/>
  <c r="O25" i="26"/>
  <c r="O24" i="26"/>
  <c r="O23" i="26"/>
  <c r="V51" i="25"/>
  <c r="V65" i="25" s="1"/>
  <c r="O27" i="25"/>
  <c r="O26" i="25"/>
  <c r="O25" i="25"/>
  <c r="O24" i="25"/>
  <c r="O23" i="25"/>
  <c r="O23" i="24"/>
  <c r="O54" i="24" s="1"/>
  <c r="O32" i="23"/>
  <c r="O31" i="23"/>
  <c r="O30" i="23"/>
  <c r="O29" i="23"/>
  <c r="O28" i="23"/>
  <c r="O27" i="23"/>
  <c r="O26" i="23"/>
  <c r="O25" i="23"/>
  <c r="O24" i="23"/>
  <c r="O23" i="23"/>
  <c r="V51" i="22"/>
  <c r="V64" i="22" s="1"/>
  <c r="O28" i="22"/>
  <c r="O27" i="22"/>
  <c r="O26" i="22"/>
  <c r="O25" i="22"/>
  <c r="O24" i="22"/>
  <c r="O23" i="22"/>
  <c r="O26" i="21"/>
  <c r="O25" i="21"/>
  <c r="O24" i="21"/>
  <c r="O23" i="21"/>
  <c r="O26" i="20"/>
  <c r="O25" i="20"/>
  <c r="O24" i="20"/>
  <c r="O23" i="20"/>
  <c r="V51" i="19"/>
  <c r="V62" i="19" s="1"/>
  <c r="O25" i="19"/>
  <c r="O24" i="19"/>
  <c r="O23" i="19"/>
  <c r="O54" i="19" s="1"/>
  <c r="O25" i="18"/>
  <c r="O24" i="18"/>
  <c r="O23" i="18"/>
  <c r="V51" i="17"/>
  <c r="V61" i="17" s="1"/>
  <c r="O27" i="17"/>
  <c r="O26" i="17"/>
  <c r="O25" i="17"/>
  <c r="O24" i="17"/>
  <c r="O23" i="17"/>
  <c r="R55" i="16"/>
  <c r="O28" i="16"/>
  <c r="O27" i="16"/>
  <c r="O26" i="16"/>
  <c r="O25" i="16"/>
  <c r="O24" i="16"/>
  <c r="O23" i="16"/>
  <c r="V51" i="15"/>
  <c r="V59" i="15" s="1"/>
  <c r="O26" i="15"/>
  <c r="O25" i="15"/>
  <c r="O24" i="15"/>
  <c r="O23" i="15"/>
  <c r="O26" i="14"/>
  <c r="O25" i="14"/>
  <c r="O24" i="14"/>
  <c r="O23" i="14"/>
  <c r="O54" i="14" s="1"/>
  <c r="O27" i="13"/>
  <c r="O26" i="13"/>
  <c r="O25" i="13"/>
  <c r="O24" i="13"/>
  <c r="O23" i="13"/>
  <c r="O26" i="12"/>
  <c r="O25" i="12"/>
  <c r="O24" i="12"/>
  <c r="O23" i="12"/>
  <c r="V51" i="11"/>
  <c r="V58" i="11" s="1"/>
  <c r="O27" i="11"/>
  <c r="O26" i="11"/>
  <c r="O25" i="11"/>
  <c r="O24" i="11"/>
  <c r="O23" i="11"/>
  <c r="O28" i="10"/>
  <c r="O27" i="10"/>
  <c r="O26" i="10"/>
  <c r="O25" i="10"/>
  <c r="O24" i="10"/>
  <c r="O23" i="10"/>
  <c r="O24" i="9"/>
  <c r="O23" i="9"/>
  <c r="U51" i="8"/>
  <c r="U56" i="8" s="1"/>
  <c r="O28" i="8"/>
  <c r="O27" i="8"/>
  <c r="O26" i="8"/>
  <c r="O25" i="8"/>
  <c r="O24" i="8"/>
  <c r="O23" i="8"/>
  <c r="O27" i="7"/>
  <c r="O26" i="7"/>
  <c r="O25" i="7"/>
  <c r="O24" i="7"/>
  <c r="O23" i="7"/>
  <c r="U51" i="6"/>
  <c r="U55" i="6" s="1"/>
  <c r="O27" i="6"/>
  <c r="O26" i="6"/>
  <c r="O25" i="6"/>
  <c r="O24" i="6"/>
  <c r="O23" i="6"/>
  <c r="O28" i="5"/>
  <c r="O27" i="5"/>
  <c r="O26" i="5"/>
  <c r="O25" i="5"/>
  <c r="O24" i="5"/>
  <c r="O23" i="5"/>
  <c r="O28" i="4"/>
  <c r="O27" i="4"/>
  <c r="O26" i="4"/>
  <c r="O25" i="4"/>
  <c r="O24" i="4"/>
  <c r="O23" i="4"/>
  <c r="O24" i="3"/>
  <c r="O23" i="3"/>
  <c r="O31" i="2"/>
  <c r="O30" i="2"/>
  <c r="O29" i="2"/>
  <c r="O28" i="2"/>
  <c r="O27" i="2"/>
  <c r="O26" i="2"/>
  <c r="O25" i="2"/>
  <c r="O24" i="2"/>
  <c r="O23" i="2"/>
  <c r="O29" i="1"/>
  <c r="O28" i="1"/>
  <c r="O27" i="1"/>
  <c r="O26" i="1"/>
  <c r="O25" i="1"/>
  <c r="O24" i="1"/>
  <c r="O23" i="1"/>
  <c r="O54" i="8" l="1"/>
  <c r="O54" i="28"/>
  <c r="O54" i="43"/>
  <c r="O54" i="17"/>
  <c r="O54" i="21"/>
  <c r="O54" i="2"/>
  <c r="O54" i="4"/>
  <c r="O54" i="12"/>
  <c r="O54" i="13"/>
  <c r="O54" i="29"/>
  <c r="O54" i="30"/>
  <c r="O54" i="34"/>
  <c r="O54" i="35"/>
  <c r="O54" i="37"/>
  <c r="O54" i="41"/>
  <c r="O54" i="46"/>
  <c r="O54" i="1"/>
  <c r="O54" i="3"/>
  <c r="O54" i="5"/>
  <c r="O54" i="7"/>
  <c r="O54" i="9"/>
  <c r="O54" i="10"/>
  <c r="O54" i="11"/>
  <c r="O54" i="15"/>
  <c r="O54" i="16"/>
  <c r="O54" i="20"/>
  <c r="O54" i="22"/>
  <c r="O54" i="23"/>
  <c r="O54" i="33"/>
  <c r="O54" i="6"/>
  <c r="O54" i="18"/>
  <c r="O54" i="25"/>
  <c r="O54" i="26"/>
  <c r="O54" i="36"/>
  <c r="O54" i="45"/>
  <c r="O54" i="50"/>
  <c r="O54" i="49"/>
  <c r="O54" i="48"/>
  <c r="U53" i="4"/>
  <c r="U51" i="4"/>
  <c r="U31" i="4"/>
</calcChain>
</file>

<file path=xl/sharedStrings.xml><?xml version="1.0" encoding="utf-8"?>
<sst xmlns="http://schemas.openxmlformats.org/spreadsheetml/2006/main" count="5853" uniqueCount="567">
  <si>
    <t>Chemitjaya Sdn Bhd (1354311-X)</t>
  </si>
  <si>
    <t>No. 9480, Jalan  Jinjang Aman 5</t>
  </si>
  <si>
    <t>Jinjang Utara, Jinjang</t>
  </si>
  <si>
    <t>52000 Kuala Lumpur</t>
  </si>
  <si>
    <t>Email : chemitjaya@gmail.com</t>
  </si>
  <si>
    <t>Invoice</t>
  </si>
  <si>
    <t>Customer</t>
  </si>
  <si>
    <t>:</t>
  </si>
  <si>
    <t>Yew Seng Gardening Supply Sdn Bhd</t>
  </si>
  <si>
    <t>Invoice No</t>
  </si>
  <si>
    <t>INV00001661</t>
  </si>
  <si>
    <t>Customer No</t>
  </si>
  <si>
    <t>C00000010</t>
  </si>
  <si>
    <t>Date</t>
  </si>
  <si>
    <t>2/7/2026</t>
  </si>
  <si>
    <t>Due Date</t>
  </si>
  <si>
    <t>Delivered</t>
  </si>
  <si>
    <t>No 40 &amp; 42, Jalan Matahari AB</t>
  </si>
  <si>
    <t>Payment Term</t>
  </si>
  <si>
    <t>AB/U5 Bandar Pinggiran Subang</t>
  </si>
  <si>
    <t>Mode of Transport</t>
  </si>
  <si>
    <t>Delivery</t>
  </si>
  <si>
    <t>40150 Shah Alam</t>
  </si>
  <si>
    <t>Your P/O No</t>
  </si>
  <si>
    <t>Selangor</t>
  </si>
  <si>
    <t>Delivery Note No</t>
  </si>
  <si>
    <t>DO00001661-1/2</t>
  </si>
  <si>
    <t>Attn</t>
  </si>
  <si>
    <t>Mr Kee Yew Chean</t>
  </si>
  <si>
    <t>Tel</t>
  </si>
  <si>
    <t>012-3092902</t>
  </si>
  <si>
    <t>Item</t>
  </si>
  <si>
    <t>Description</t>
  </si>
  <si>
    <t>Quantity</t>
  </si>
  <si>
    <t>Unit Price</t>
  </si>
  <si>
    <t>Amount (RM)</t>
  </si>
  <si>
    <t>0726</t>
  </si>
  <si>
    <t>0526</t>
  </si>
  <si>
    <t>0426</t>
  </si>
  <si>
    <t>0125</t>
  </si>
  <si>
    <t>0825</t>
  </si>
  <si>
    <t>1124</t>
  </si>
  <si>
    <t>1024</t>
  </si>
  <si>
    <t>0924</t>
  </si>
  <si>
    <t>0724</t>
  </si>
  <si>
    <t>0424</t>
  </si>
  <si>
    <t>RM Resin 268BQT (225Kg)</t>
  </si>
  <si>
    <t>Drum</t>
  </si>
  <si>
    <t>RO CSM 450 1040mm(W) (37kg)</t>
  </si>
  <si>
    <t>Roll</t>
  </si>
  <si>
    <t>RS Talcum Powder (25kg)</t>
  </si>
  <si>
    <t>Bag</t>
  </si>
  <si>
    <t>RA Hardnox M90 (5Kg)</t>
  </si>
  <si>
    <t>Bottle</t>
  </si>
  <si>
    <t>RH Bosny Wax (15Kg)</t>
  </si>
  <si>
    <t>Pail</t>
  </si>
  <si>
    <t>RD Brush 2.1/2" (12Pc)</t>
  </si>
  <si>
    <t>Box</t>
  </si>
  <si>
    <t>RM TR104 Hi Temp Wax</t>
  </si>
  <si>
    <t>AMOUNT IN WORDS</t>
  </si>
  <si>
    <t>TOTAL</t>
  </si>
  <si>
    <t>RINGGIT MALAYSIA : NINETEEN THOUSAND SEVEN HUNDRED AND FORTY ONE ONLY.</t>
  </si>
  <si>
    <t>If you do not agree with the above balance, please inform us within 7 days of the invoice date.</t>
  </si>
  <si>
    <t>Interest will be charge at 1.5% per month on all overdue Accounts.</t>
  </si>
  <si>
    <t>Please quote our Invoice number when making payment and remit to:</t>
  </si>
  <si>
    <t>Public Bank Berhad - A/C No. 3217791107 - Swift Code : PBBEMYKL.</t>
  </si>
  <si>
    <t>147, 149, 151 &amp; 153, Jalan Rimbunan Raya 1, Laman Rimbunan, Jalan Kepong, 52100 Kuala Lumpur.</t>
  </si>
  <si>
    <t>This is computer generated invoice.  No signature is required</t>
  </si>
  <si>
    <t>Truck &amp; Dash Accessories Industry</t>
  </si>
  <si>
    <t>INV00001662</t>
  </si>
  <si>
    <t>C00000072</t>
  </si>
  <si>
    <t>3/7/2026</t>
  </si>
  <si>
    <t>Lot 1948, Jalan 2/36</t>
  </si>
  <si>
    <t>Cash</t>
  </si>
  <si>
    <t>Bukit Sri Bintang, Kepong</t>
  </si>
  <si>
    <t>52100 Kuala Lumpur</t>
  </si>
  <si>
    <t>DO00001662</t>
  </si>
  <si>
    <t>Mr Jastin Tang</t>
  </si>
  <si>
    <t>012-484 6866 / 010-880 1898</t>
  </si>
  <si>
    <t>RA Resin 268BQT (225Kg)</t>
  </si>
  <si>
    <t>RO CSM 450 64m(L) X 1860mm(W) (67kg)</t>
  </si>
  <si>
    <t>RO Gelcoat LB9888 (22kg)</t>
  </si>
  <si>
    <t>RQ Talcum Powder (25Kg)</t>
  </si>
  <si>
    <t xml:space="preserve">RM Pigment Super Black (5Kg)       </t>
  </si>
  <si>
    <t>Tin</t>
  </si>
  <si>
    <t xml:space="preserve">RM Pigment Light Grey G1 (5Kg)       </t>
  </si>
  <si>
    <t xml:space="preserve">RM Pigment Chestnut Brown (5Kg)       </t>
  </si>
  <si>
    <t>Can</t>
  </si>
  <si>
    <t>Transport charges</t>
  </si>
  <si>
    <t>RINGGIT MALAYSIA : THREE THOUSAND FIVE HUNDRED AND NINETY FIVE ONLY.</t>
  </si>
  <si>
    <t>Perniagaan Fibra Sahih</t>
  </si>
  <si>
    <t>INV000001663</t>
  </si>
  <si>
    <t>C00000006</t>
  </si>
  <si>
    <t>6/7/2026</t>
  </si>
  <si>
    <t>Lot 2825, Batu 17 3/4</t>
  </si>
  <si>
    <t>Lorong Kemuning , Kuang</t>
  </si>
  <si>
    <t>48050 Rawang</t>
  </si>
  <si>
    <t>Selangor Darul Ehsan</t>
  </si>
  <si>
    <t>DO00001663</t>
  </si>
  <si>
    <t>Mr Wong</t>
  </si>
  <si>
    <t>012-6137603</t>
  </si>
  <si>
    <t>0326</t>
  </si>
  <si>
    <t>0126</t>
  </si>
  <si>
    <t>0325</t>
  </si>
  <si>
    <t>Nov</t>
  </si>
  <si>
    <t>Oct</t>
  </si>
  <si>
    <t>RINGGIT MALAYSIA : TWO THOUSAND TWO AND CENTS FIFTY ONLY.</t>
  </si>
  <si>
    <t>Welltech (M) Sdn Bhd</t>
  </si>
  <si>
    <t>INV00001664</t>
  </si>
  <si>
    <t>C00000042</t>
  </si>
  <si>
    <t>7/7/2026</t>
  </si>
  <si>
    <t>Own Collection</t>
  </si>
  <si>
    <t>DO00001664-1/2/3</t>
  </si>
  <si>
    <t>Ms Winnie Teo / Mr Alvin Chang</t>
  </si>
  <si>
    <t>017-399 2322 / 016-912 3863 / 603-8063 0960</t>
  </si>
  <si>
    <t>0226</t>
  </si>
  <si>
    <t>1125</t>
  </si>
  <si>
    <t>0925</t>
  </si>
  <si>
    <t>0425</t>
  </si>
  <si>
    <t>Jan'25</t>
  </si>
  <si>
    <t>Dec'14</t>
  </si>
  <si>
    <t>Nov;24</t>
  </si>
  <si>
    <t>Oct'24</t>
  </si>
  <si>
    <t>Sept'24</t>
  </si>
  <si>
    <t>Aug'24</t>
  </si>
  <si>
    <t>Jun'24</t>
  </si>
  <si>
    <t>RO Resin 8213WPT (225kg)</t>
  </si>
  <si>
    <t xml:space="preserve">6.60(268BQT / </t>
  </si>
  <si>
    <t>6.80(8213WPT)</t>
  </si>
  <si>
    <t>RA Woven Roving E-600gm 1120mm (45Kg)</t>
  </si>
  <si>
    <t>RM Pigment Light Grey G1 (25kg)</t>
  </si>
  <si>
    <t xml:space="preserve">RM Pigment Paste Riviera Blue B5 (25Kg) </t>
  </si>
  <si>
    <t>Amount</t>
  </si>
  <si>
    <t>Balance 31/5/2026</t>
  </si>
  <si>
    <t>00001634</t>
  </si>
  <si>
    <t>Payment</t>
  </si>
  <si>
    <t>00001640</t>
  </si>
  <si>
    <t>00001641</t>
  </si>
  <si>
    <t>00001643</t>
  </si>
  <si>
    <t>00001644</t>
  </si>
  <si>
    <t>00001646</t>
  </si>
  <si>
    <t>00001648</t>
  </si>
  <si>
    <t>00001653</t>
  </si>
  <si>
    <t>00001654</t>
  </si>
  <si>
    <t>00001656</t>
  </si>
  <si>
    <t>00001658</t>
  </si>
  <si>
    <t>00001660</t>
  </si>
  <si>
    <t>Balance 30/6/2026</t>
  </si>
  <si>
    <t>00001664</t>
  </si>
  <si>
    <t>RINGGIT MALAYSIA : THIRTY THOUSAND FIVE HUNDRED AND THIRTEEN ONLY.</t>
  </si>
  <si>
    <t xml:space="preserve"> </t>
  </si>
  <si>
    <t>```</t>
  </si>
  <si>
    <t>Sunfiber Enterprise</t>
  </si>
  <si>
    <t>INV00001665</t>
  </si>
  <si>
    <t>C00000065</t>
  </si>
  <si>
    <t>9/7/2026</t>
  </si>
  <si>
    <t>No. 11, Jalan U17/18D</t>
  </si>
  <si>
    <t>Amverton Hills, Sungai Buloh</t>
  </si>
  <si>
    <t>Petaling, Selangor</t>
  </si>
  <si>
    <t>40160 Sungai Boluh, Selangor</t>
  </si>
  <si>
    <t>DO00001665</t>
  </si>
  <si>
    <t>Mr Stanny Chen</t>
  </si>
  <si>
    <t>012-979 7699</t>
  </si>
  <si>
    <t>0626</t>
  </si>
  <si>
    <t>1025</t>
  </si>
  <si>
    <t>0225</t>
  </si>
  <si>
    <t>0324</t>
  </si>
  <si>
    <t xml:space="preserve">RM Pigment Super White (5Kg)       </t>
  </si>
  <si>
    <t>RINGGIT MALAYSIA : THREE THOUSAND SIX HUNDRED AND SIXTY EIGHT ONLY.</t>
  </si>
  <si>
    <t>INV00001666</t>
  </si>
  <si>
    <t>10/7/2026</t>
  </si>
  <si>
    <t>DO00001666</t>
  </si>
  <si>
    <t>RA CSM 450 1040mm(W) (30kg)</t>
  </si>
  <si>
    <t>00001666</t>
  </si>
  <si>
    <t>RINGGIT MALAYSIA : SIXTEEN THOUSAND SEVEN HUNDRED AND FIFTEEN ONLY.</t>
  </si>
  <si>
    <t>Cash - Encik Razzak</t>
  </si>
  <si>
    <t>INV00001667</t>
  </si>
  <si>
    <t>C00000044</t>
  </si>
  <si>
    <t>11/7/2026</t>
  </si>
  <si>
    <t xml:space="preserve">No. 4, Jalan Desa Mawar 3/4, </t>
  </si>
  <si>
    <t>Taman Desa Mawar Kampung Sungai Yu</t>
  </si>
  <si>
    <t>45500 Tanjong Karang</t>
  </si>
  <si>
    <t>DO00001667</t>
  </si>
  <si>
    <t>Encik Razak</t>
  </si>
  <si>
    <t>018-382 5948</t>
  </si>
  <si>
    <t>0625</t>
  </si>
  <si>
    <t>Jul'24</t>
  </si>
  <si>
    <t>May'24</t>
  </si>
  <si>
    <t>Apr'2</t>
  </si>
  <si>
    <t>Dec'23</t>
  </si>
  <si>
    <t>RA Resin 9539Wax (225Kg)</t>
  </si>
  <si>
    <t>8.10/7.90</t>
  </si>
  <si>
    <t>RA CSM 450 1040mm (30kg)</t>
  </si>
  <si>
    <t>RINGGIT MALAYSIA :  TWO THOUSAND FIVE HUNDRED FIFTY THREE AND CENTS FIFTY ONLY.</t>
  </si>
  <si>
    <t>INV00001668</t>
  </si>
  <si>
    <t>14/7/2026</t>
  </si>
  <si>
    <t>DO00001668-1/2</t>
  </si>
  <si>
    <t>RM Pigment Paste Smooth Cream M19 (25Kg)</t>
  </si>
  <si>
    <t>RINGGIT MALAYSIA : FIFTEEN THOUSAND THREE HUNDRED AND TWENTY SIX ONLY.</t>
  </si>
  <si>
    <t>00001668</t>
  </si>
  <si>
    <t>Kelnico Sdn Bhd</t>
  </si>
  <si>
    <t>INV00001669</t>
  </si>
  <si>
    <t>C00000045</t>
  </si>
  <si>
    <t>15/7/2026</t>
  </si>
  <si>
    <t>16 Jalan Utarid U5/21,</t>
  </si>
  <si>
    <t>U5 Mah Sing Integrated Park</t>
  </si>
  <si>
    <t>DO00001669</t>
  </si>
  <si>
    <t>Mr Chan Kok Cheng</t>
  </si>
  <si>
    <t>012-3206813</t>
  </si>
  <si>
    <t>RA CSM 300 1040mm(W) (30kg)</t>
  </si>
  <si>
    <t>RINGGIT MALAYSIA : TWO THOUSAND FOUR HUNDRED AND EIGHTEEN ONLY.</t>
  </si>
  <si>
    <t>Desuki Affela Empire Enterprise</t>
  </si>
  <si>
    <t>INV00001670</t>
  </si>
  <si>
    <t>C00000019</t>
  </si>
  <si>
    <t>16/7/2026</t>
  </si>
  <si>
    <t xml:space="preserve">7-D-G, Jalan Sungai Tua </t>
  </si>
  <si>
    <t>Batu 7 1/2</t>
  </si>
  <si>
    <t>68100 Baru Caves Selayang</t>
  </si>
  <si>
    <t xml:space="preserve">Selangor </t>
  </si>
  <si>
    <t>DO00001670</t>
  </si>
  <si>
    <t>En Desuki</t>
  </si>
  <si>
    <t>016-2926484</t>
  </si>
  <si>
    <t>RO CSM 450 1860mm(W) (67kg)</t>
  </si>
  <si>
    <t>RM Pigment Super White (5Kg)</t>
  </si>
  <si>
    <t>RM Pigment Paste Orange (5Kg)</t>
  </si>
  <si>
    <t>RINGGIT MALAYSIA : THREE THOUSAND ONE HUNDRED THIRTY SEVEN CENTS FORTY ONLY.</t>
  </si>
  <si>
    <t>INV00001671</t>
  </si>
  <si>
    <t>DO00001671-1/2</t>
  </si>
  <si>
    <t>RINGGIT MALAYSIA : TWENTY THREE THOUSAND FOUR HUNDRED AND SIXTY FIVE ONLY.</t>
  </si>
  <si>
    <t>00001671</t>
  </si>
  <si>
    <t>Pandian Art Gallery Manufacturing</t>
  </si>
  <si>
    <t>INV00001672</t>
  </si>
  <si>
    <t>C00000003</t>
  </si>
  <si>
    <t>No. 26G-A, Lorong Tingkat</t>
  </si>
  <si>
    <t>Off Jalan Istana</t>
  </si>
  <si>
    <t>41000 Klang</t>
  </si>
  <si>
    <t>DO00001672</t>
  </si>
  <si>
    <t>Mr Selva/Ms Sri</t>
  </si>
  <si>
    <t>014-6464898 / 016-6060480</t>
  </si>
  <si>
    <t>RQ Talcum Powder (25kg)</t>
  </si>
  <si>
    <t>RINGGIT MALAYSIA : TWO THOUSAND THREE HUNDRED AND EIGHTY FIVE ONLY.</t>
  </si>
  <si>
    <t>INV00001673</t>
  </si>
  <si>
    <t>18/7/2026</t>
  </si>
  <si>
    <t>DO00001673</t>
  </si>
  <si>
    <t>RM CSM 300 64m(L) X 1860mm(W) (54kg)</t>
  </si>
  <si>
    <t>RINGGIT MALAYSIA : TWO THOUSAND EIGHT HUNDRED FOUR AND CENTS FIFTY ONLY.</t>
  </si>
  <si>
    <t>YL Professional Fiber Trading</t>
  </si>
  <si>
    <t>INV00001674</t>
  </si>
  <si>
    <t>C00000050</t>
  </si>
  <si>
    <t>No 12, Jalan SC 5/E, Pusat Perindustrian</t>
  </si>
  <si>
    <t>Pusat Perindustrian Sg Chua</t>
  </si>
  <si>
    <t>43000 Kajang</t>
  </si>
  <si>
    <t>DO00001674</t>
  </si>
  <si>
    <t>Mr Liew</t>
  </si>
  <si>
    <t>018-669 3668</t>
  </si>
  <si>
    <t>Nov'24</t>
  </si>
  <si>
    <t>old</t>
  </si>
  <si>
    <t>RA Golden Yellow</t>
  </si>
  <si>
    <t>**RA Golden Yellow RM45/kg</t>
  </si>
  <si>
    <t>RINGGIT MALAYSIA : TWO THOUSAND SEVEN HUNDRED AND EIGHTY FIVE ONLY.</t>
  </si>
  <si>
    <t>INV00001675</t>
  </si>
  <si>
    <t>20/7/2026</t>
  </si>
  <si>
    <t>No 5, Jalan Hi-Tech 3/3</t>
  </si>
  <si>
    <t>Kawasan Perindustrian Hi-Tech 3</t>
  </si>
  <si>
    <t>43500 Semenyih</t>
  </si>
  <si>
    <t>DO00001675</t>
  </si>
  <si>
    <t>RINGGIT MALAYSIA : FOURTEEN THOUSAND FIVE HUNDRED AND SIXTY ONLY.</t>
  </si>
  <si>
    <t>00001675</t>
  </si>
  <si>
    <t>Protech Master Coach Sdn Bhd</t>
  </si>
  <si>
    <t>INV00001676</t>
  </si>
  <si>
    <t>C00000013</t>
  </si>
  <si>
    <t>22/7/2026</t>
  </si>
  <si>
    <t>Lot 2241, Jalan Perusahaan 3/1</t>
  </si>
  <si>
    <t>Kaw Perindustrian PKNS</t>
  </si>
  <si>
    <t>48000 Rawang, Selangor</t>
  </si>
  <si>
    <t>DO00001676</t>
  </si>
  <si>
    <t>Encik Bakar</t>
  </si>
  <si>
    <t>019-2629826</t>
  </si>
  <si>
    <t>RA Resin 9539Wax (225kg)</t>
  </si>
  <si>
    <t>RM CSM 450 GSM 1860mm (54kg)</t>
  </si>
  <si>
    <t>RO Gelcoat (22kg)</t>
  </si>
  <si>
    <t>RD Brush 2" (12pcs)</t>
  </si>
  <si>
    <t>RA TR104 Hi Temp Wax</t>
  </si>
  <si>
    <t>RINGGIT MALAYSIA : TWO THOUSAND EIGHT HUNDRED EIGHTY FIVE AND CENTS THIRTY ONLY.</t>
  </si>
  <si>
    <t>INV00001677</t>
  </si>
  <si>
    <t>23/7/2026</t>
  </si>
  <si>
    <t>DO00001677</t>
  </si>
  <si>
    <t>RINGGIT MALAYSIA : SEVENTEEN THOUSAND TWO HUNDRED AND SEVENTY ONLY.</t>
  </si>
  <si>
    <t>00001677</t>
  </si>
  <si>
    <t>INV000001678</t>
  </si>
  <si>
    <t>24/7/2026</t>
  </si>
  <si>
    <t>DO00001678</t>
  </si>
  <si>
    <t>RA CSM 300 1040mm(W) (30Kg)</t>
  </si>
  <si>
    <t>RA Pigment Super White (5kg)</t>
  </si>
  <si>
    <t>RINGGIT MALAYSIA : EIGHT HUNDRED AND SEVENTY SEVEN ONLY.</t>
  </si>
  <si>
    <t>INV00001679</t>
  </si>
  <si>
    <t>25/7/2026</t>
  </si>
  <si>
    <t>DO00001679</t>
  </si>
  <si>
    <t>RA CSM 450 1040mm(W) (37kg)</t>
  </si>
  <si>
    <t>RINGGIT MALAYSIA : SIX THOUSAND THREE HUNDRED EIGHTY SIX AND CENTS FORTY ONLY.</t>
  </si>
  <si>
    <t>00001678</t>
  </si>
  <si>
    <t>INV00001680</t>
  </si>
  <si>
    <t>27/7/2026</t>
  </si>
  <si>
    <t>DO00001680-1/2</t>
  </si>
  <si>
    <t>RINGGIT MALAYSIA : TWENTY THOUSAND ONE HUNDRED AND FORTY ONE ONLY.</t>
  </si>
  <si>
    <t>INV00001681</t>
  </si>
  <si>
    <t>28/7/2026</t>
  </si>
  <si>
    <t>DO00001681</t>
  </si>
  <si>
    <t>RA Honeywax 250</t>
  </si>
  <si>
    <t>RINGGIT MALAYSIA : TWO THOUSAND SEVEN HUNDRED SEVENTY AND CENTS TEN ONLY.</t>
  </si>
  <si>
    <t>INV00001682</t>
  </si>
  <si>
    <t>DO00001682</t>
  </si>
  <si>
    <t>RINGGIT MALAYSIA : FIFTEEN THOUSAND NINE HUNDRED AND THIRTY FIVE ONLY.</t>
  </si>
  <si>
    <t>00001679</t>
  </si>
  <si>
    <t>00001682</t>
  </si>
  <si>
    <t>Pioneer Coachbuilders Sdn Bhd</t>
  </si>
  <si>
    <t>INV00001683</t>
  </si>
  <si>
    <t>C00000063</t>
  </si>
  <si>
    <t>Lot 9166, Jalan Telok Gong</t>
  </si>
  <si>
    <t>Kg Telok Gong</t>
  </si>
  <si>
    <t>42000 Pelabuhan Klang</t>
  </si>
  <si>
    <t>P000103087</t>
  </si>
  <si>
    <t>P000099xxx</t>
  </si>
  <si>
    <t>Selangor D. E.</t>
  </si>
  <si>
    <t>DO00001683</t>
  </si>
  <si>
    <t>Ms Tiffany</t>
  </si>
  <si>
    <t>017-338 3899</t>
  </si>
  <si>
    <r>
      <t>082</t>
    </r>
    <r>
      <rPr>
        <strike/>
        <sz val="11"/>
        <color rgb="FF000000"/>
        <rFont val="Arial"/>
        <family val="2"/>
      </rPr>
      <t>5</t>
    </r>
  </si>
  <si>
    <t>Resin 268BQT (225kg)</t>
  </si>
  <si>
    <t>CSM 450 GSM 1860 (54kg)</t>
  </si>
  <si>
    <t>CSM 300 GSM 1860 (54kg)</t>
  </si>
  <si>
    <t>Hardnox M90 (5Kg)</t>
  </si>
  <si>
    <t>Gelcoat LB9888 (22kg)</t>
  </si>
  <si>
    <t>TR104 Hi Temp Wax</t>
  </si>
  <si>
    <t>Chemlease 71-90 EZ (1 gallon)</t>
  </si>
  <si>
    <t xml:space="preserve">Pigment White (5kg)  </t>
  </si>
  <si>
    <t>Fume silica HJSIL 200(10Kg)</t>
  </si>
  <si>
    <t>Talcum Powder (25kg)</t>
  </si>
  <si>
    <t>RINGGIT MALAYSIA : EIGHTEEN THOUSAND ONE HUNDRED AND TWENTY TWO ONLY.</t>
  </si>
  <si>
    <t>INV00001684</t>
  </si>
  <si>
    <t>DO00001684</t>
  </si>
  <si>
    <t>RINGGIT MALAYSIA : FIVE HUNDRED AND TWENTY TWO ONLY.</t>
  </si>
  <si>
    <t>INV00001685</t>
  </si>
  <si>
    <t>30/7/2026</t>
  </si>
  <si>
    <t>DO00001685</t>
  </si>
  <si>
    <t>RINGGIT MALAYSIA : FOURTEEN THOUSAND NINE HUNDRED AND THIRTY FIVE ONLY.</t>
  </si>
  <si>
    <t>00001685</t>
  </si>
  <si>
    <t>INV00001686</t>
  </si>
  <si>
    <t>31/7/2026</t>
  </si>
  <si>
    <t>DO00001686</t>
  </si>
  <si>
    <t>RA Resin 9539 Wax (225Kg)</t>
  </si>
  <si>
    <t>RM Pigment Light Grey G1 (5kg)</t>
  </si>
  <si>
    <t>RINGGIT MALAYSIA : SIX THOUSAND THREE HUNDRED FORTY FIVE AND CENTS FIFTY ONLY.</t>
  </si>
  <si>
    <t>INV00001687</t>
  </si>
  <si>
    <t>DO00001687</t>
  </si>
  <si>
    <t>RINGGIT MALAYSIA : FOUR HUNDRED AND SIXTY TWO ONLY.</t>
  </si>
  <si>
    <t>INV00001688</t>
  </si>
  <si>
    <t>1/8/2026</t>
  </si>
  <si>
    <t>DO00001688</t>
  </si>
  <si>
    <t>RM Pigment Red R11(5kg)</t>
  </si>
  <si>
    <t>RINGGIT MALAYSIA :  TWO THOUSAND EIGHT HUNDRED AND FIVE ONLY.</t>
  </si>
  <si>
    <t>INV00001689</t>
  </si>
  <si>
    <t>DO00001689</t>
  </si>
  <si>
    <t>INV00001690</t>
  </si>
  <si>
    <t>4/8/2026</t>
  </si>
  <si>
    <t>DO00001690</t>
  </si>
  <si>
    <t>RINGGIT MALAYSIA : TWO THOUSAND NINE HUNDRED AND TWO ONLY.</t>
  </si>
  <si>
    <t>INV00001691</t>
  </si>
  <si>
    <t>5/8/2026</t>
  </si>
  <si>
    <t>DO00001691</t>
  </si>
  <si>
    <t>RINGGIT MALAYSIA : TWO THOUSAND TWO HUNDRED SEVENTY TWO AND CENTS FIFTY ONLY.</t>
  </si>
  <si>
    <t>Transform Star Sdn Bhd</t>
  </si>
  <si>
    <t>INV00001692</t>
  </si>
  <si>
    <t>C00000027</t>
  </si>
  <si>
    <t>53 Jalan SMS 3A</t>
  </si>
  <si>
    <t>Taman Rawang Perdana</t>
  </si>
  <si>
    <t>Kawasan Perindustrian</t>
  </si>
  <si>
    <t>48000 Rawang, Selangor Darul Ehsan</t>
  </si>
  <si>
    <t>DO00001692</t>
  </si>
  <si>
    <t>En Mohd Raffie</t>
  </si>
  <si>
    <t>013-396 9428</t>
  </si>
  <si>
    <t>0525</t>
  </si>
  <si>
    <t>0725</t>
  </si>
  <si>
    <t>0624</t>
  </si>
  <si>
    <t>New</t>
  </si>
  <si>
    <t>Cost</t>
  </si>
  <si>
    <t>Old (Jun)</t>
  </si>
  <si>
    <t>Old (May)</t>
  </si>
  <si>
    <t>RINGGIT MALAYSIA : ONE THOUSAND EIGHT HUNDRED AND FORTY FIVE ONLY.</t>
  </si>
  <si>
    <t>INV00001693</t>
  </si>
  <si>
    <t>DO00001693</t>
  </si>
  <si>
    <t>RINGGIT MALAYSIA : SIXTEEN THOUSAND AND THIRTY SIX ONLY.</t>
  </si>
  <si>
    <t>Pro-Art Builders Sdn Bhd</t>
  </si>
  <si>
    <t>INV00001694</t>
  </si>
  <si>
    <t>C00000075</t>
  </si>
  <si>
    <t>6/8/2026</t>
  </si>
  <si>
    <t xml:space="preserve">No 50, Jalan Marikh U5/173. </t>
  </si>
  <si>
    <t>Sek.U5, KWSN Perindustrian Subang 2,</t>
  </si>
  <si>
    <t>40150 Shah Alam, Selangor</t>
  </si>
  <si>
    <t>DO00001694</t>
  </si>
  <si>
    <t>Mr O Simkon / Ms Diela</t>
  </si>
  <si>
    <t>011-6866 1952 / 012-688 1737</t>
  </si>
  <si>
    <t>Artomoto Designs Inv 1636</t>
  </si>
  <si>
    <t>0826</t>
  </si>
  <si>
    <t>RINGGIT MALAYSIA : THREE THOUSAND ONE HUNDRED TWENTY FOUR AND CENTS FIFTY ONLY.</t>
  </si>
  <si>
    <t>Berkat Fibreglass</t>
  </si>
  <si>
    <t>INV00001695</t>
  </si>
  <si>
    <t>C00000046</t>
  </si>
  <si>
    <t>7/8/2026</t>
  </si>
  <si>
    <t>Klang</t>
  </si>
  <si>
    <t>DO00001695</t>
  </si>
  <si>
    <t>Encik Amin</t>
  </si>
  <si>
    <t>019-397 1222</t>
  </si>
  <si>
    <t>RM Washing Thinner (15kg)</t>
  </si>
  <si>
    <t xml:space="preserve">RM Brush 3" </t>
  </si>
  <si>
    <t>Pcs</t>
  </si>
  <si>
    <t>RA Pigment Sapphire Blue (2kg)</t>
  </si>
  <si>
    <t>RA Pigment Super White (5Kg)</t>
  </si>
  <si>
    <t xml:space="preserve">RA Pigment Super Black (2kg) </t>
  </si>
  <si>
    <t>RINGGIT MALAYSIA : THREE THOUSAND THREE HUNDRED NINETY SIX AND CENTS FIFTY ONLY.</t>
  </si>
  <si>
    <t>INV00001697</t>
  </si>
  <si>
    <t>11/8/2026</t>
  </si>
  <si>
    <t>DO00001697</t>
  </si>
  <si>
    <t>RM Chemlease 71-90 EZ (1 gallon)</t>
  </si>
  <si>
    <t>RINGGIT MALAYSIA : TWO THOUSAND FIVE HUNDRED SEVENTY SEVEN AND CENTS FIFTY ONLY.</t>
  </si>
  <si>
    <t>INV00001698</t>
  </si>
  <si>
    <t>DO00001698</t>
  </si>
  <si>
    <t>RINGGIT MALAYSIA : EIGHT THOUSAND SEVEN HUNDRED AND EIGHTY ONE ONLY.</t>
  </si>
  <si>
    <t>INV00001699</t>
  </si>
  <si>
    <t>DO00001699</t>
  </si>
  <si>
    <t>RINGGIT MALAYSIA : ONE THOUSAND EIGHT HUNDRED FIFTY EIGHT AND CENTS FIFTY ONLY.</t>
  </si>
  <si>
    <t>INV00001700</t>
  </si>
  <si>
    <t>DO00001700</t>
  </si>
  <si>
    <t>RINGGIT MALAYSIA : TWO THOUSAND TWO HUNDRED AND SIXTY ONLY.</t>
  </si>
  <si>
    <t>INV00001701</t>
  </si>
  <si>
    <t>12/8/2026</t>
  </si>
  <si>
    <t>DO00001701</t>
  </si>
  <si>
    <t>INV00001702</t>
  </si>
  <si>
    <t>DO00001702</t>
  </si>
  <si>
    <t>RINGGIT MALAYSIA : THREE THOUSAND SIX HUNDRED THIRTY SIX AND CENTS FIFTY ONLY.</t>
  </si>
  <si>
    <t>INV00001703</t>
  </si>
  <si>
    <t>DO00001703</t>
  </si>
  <si>
    <t>RM Silicone Rubber (25kg) c/w Hardener</t>
  </si>
  <si>
    <t>Set</t>
  </si>
  <si>
    <t>RINGGIT MALAYSIA : ONE THOUSAND FOUR HUNDRED AND FIFTY ONLY.</t>
  </si>
  <si>
    <t>Selesa Form Marketing</t>
  </si>
  <si>
    <t>INV00001704</t>
  </si>
  <si>
    <t>C00000076</t>
  </si>
  <si>
    <t>13/8/2026</t>
  </si>
  <si>
    <t>DO00001704</t>
  </si>
  <si>
    <t>Mr Lucas</t>
  </si>
  <si>
    <t>012-444 8223</t>
  </si>
  <si>
    <t>Resin (25kg)</t>
  </si>
  <si>
    <t>CSM 300 1040mm(W) (30kg)</t>
  </si>
  <si>
    <t>RINGGIT MALAYSIA : SIX HUNDRED AND NINETY FIVE ONLY.</t>
  </si>
  <si>
    <t>INV00001705</t>
  </si>
  <si>
    <t>DO00001705</t>
  </si>
  <si>
    <t>RINGGIT MALAYSIA : THREE THOUSAND AND NINETY TWO ONLY.</t>
  </si>
  <si>
    <t>INV00001706</t>
  </si>
  <si>
    <t>DO00001706</t>
  </si>
  <si>
    <t>RINGGIT MALAYSIA : THIRTEEN THOUSAND TWO HUNDRED AND SEVENTY SIX ONLY.</t>
  </si>
  <si>
    <t>INV00001696</t>
  </si>
  <si>
    <t>8/8/2026</t>
  </si>
  <si>
    <t>DO00001696</t>
  </si>
  <si>
    <t>RINGGIT MALAYSIA : ELEVEN THOUSAND EIGHT HUNDRED AND THIRTY SEVENTY ONLY.</t>
  </si>
  <si>
    <t>INV00001707</t>
  </si>
  <si>
    <t>DO00001707</t>
  </si>
  <si>
    <t>RD Brush 3" (12Pc)</t>
  </si>
  <si>
    <t>RINGGIT MALAYSIA : FOUR HUNDRED SIXTY AND CENTS EIGHTY ONLY.</t>
  </si>
  <si>
    <t>14/8/2026</t>
  </si>
  <si>
    <t>INV00001708</t>
  </si>
  <si>
    <t>DO00001708</t>
  </si>
  <si>
    <t>RINGGIT MALAYSIA : FOURTEEN THOUSAND EIGHT HUNDRED AND EIGHTY NINE ONLY.</t>
  </si>
  <si>
    <t>INV00001709</t>
  </si>
  <si>
    <t>18/8/2026</t>
  </si>
  <si>
    <t>DO00001709</t>
  </si>
  <si>
    <t>RINGGIT MALAYSIA : FOURTEEN THOUSAND TWO HUNDRED AND TWENTY SIX ONLY.</t>
  </si>
  <si>
    <t>INV00001710</t>
  </si>
  <si>
    <t>20/8/2026</t>
  </si>
  <si>
    <t>DO00001710</t>
  </si>
  <si>
    <t>RINGGIT MALAYSIA :  TWO THOUSAND FIVE HUNDRED AND SEVENTY FIVE ONLY.</t>
  </si>
  <si>
    <t>INV00001711</t>
  </si>
  <si>
    <t>DO00001711</t>
  </si>
  <si>
    <t>21/8/2026</t>
  </si>
  <si>
    <t>Balance  as of 31/7/2026</t>
  </si>
  <si>
    <t>00001689</t>
  </si>
  <si>
    <t>00001693</t>
  </si>
  <si>
    <t>00001696</t>
  </si>
  <si>
    <t>00001698</t>
  </si>
  <si>
    <t>00001701</t>
  </si>
  <si>
    <t>00001706</t>
  </si>
  <si>
    <t>00001708</t>
  </si>
  <si>
    <t>00001709</t>
  </si>
  <si>
    <t>00001711</t>
  </si>
  <si>
    <t>RINGGIT MALAYSIA : FOURTEEN THOUSAND EIGHT HUNDRED AND EIGHTY FIVE ONLY.</t>
  </si>
  <si>
    <t>INV00001712</t>
  </si>
  <si>
    <t>24/8/2026</t>
  </si>
  <si>
    <t>DO00001712</t>
  </si>
  <si>
    <t>00001712</t>
  </si>
  <si>
    <t>INV00001713</t>
  </si>
  <si>
    <t>25/8/2026</t>
  </si>
  <si>
    <t>DO00001713-1/2</t>
  </si>
  <si>
    <t>RM Fume Silica HJSIL 200 (10Kg)</t>
  </si>
  <si>
    <t>RINGGIT MALAYSIA : TWENTY THREE THOUSAND NINE HUNDRED EIGHTY EIGHT AND CENTS SIXTY ONLY.</t>
  </si>
  <si>
    <t>Airebus Sdn Bhd</t>
  </si>
  <si>
    <t>C00000041</t>
  </si>
  <si>
    <t>Lot 9600 Jalan DA 1</t>
  </si>
  <si>
    <t>Kg Desa Aman</t>
  </si>
  <si>
    <t>47000 Sg Buloh, Selangor</t>
  </si>
  <si>
    <t>Ms Linda Yu</t>
  </si>
  <si>
    <t>016-227 0291 / 012-277 2369</t>
  </si>
  <si>
    <t>27/8/2026</t>
  </si>
  <si>
    <t>INV00001714</t>
  </si>
  <si>
    <t>DO00001714</t>
  </si>
  <si>
    <t>RINGGIT MALAYSIA : FOUR HUNDRED AND FIFTY ONLY.</t>
  </si>
  <si>
    <t>INV00001715</t>
  </si>
  <si>
    <t>DO00001715</t>
  </si>
  <si>
    <t>RM Resin Non-Wax (25kg)</t>
  </si>
  <si>
    <t>INV00001716</t>
  </si>
  <si>
    <t>DO00001716</t>
  </si>
  <si>
    <t>RINGGIT MALAYSIA : THIRTEEN THOUSAND EIGHT HUNDRED AND EIGHTY FIVE ONLY.</t>
  </si>
  <si>
    <t>Pc</t>
  </si>
  <si>
    <t>*loose pack Resin  RM15.00/kg</t>
  </si>
  <si>
    <t>RINGGIT MALAYSIA : ONE THOUSAND AND FIFTY SIX ONLY.</t>
  </si>
  <si>
    <t>RA Honeycomb 12mm - 1220(W) x 2440(L)</t>
  </si>
  <si>
    <t>RA Honeycomb 9mm - 1220(W) x 2440(L)</t>
  </si>
  <si>
    <t>RINGGIT MALAYSIA :  TWO THOUSAND FIVE HUNDRED EIGHTY TWO AND CENTS FIFTY ONLY.</t>
  </si>
  <si>
    <t>29/8/2026</t>
  </si>
  <si>
    <t>INV00001718</t>
  </si>
  <si>
    <t>DO00001718</t>
  </si>
  <si>
    <t>INV00001717</t>
  </si>
  <si>
    <t>DO00001717</t>
  </si>
  <si>
    <t>RINGGIT MALAYSIA : TWO THOUSAND FIVE HUNDRED AND FIFTEEN ONLY.</t>
  </si>
  <si>
    <t>00001716</t>
  </si>
  <si>
    <t>00001718</t>
  </si>
  <si>
    <t>INV00001719</t>
  </si>
  <si>
    <t>DO00001719</t>
  </si>
  <si>
    <t>INV00001720</t>
  </si>
  <si>
    <t>1/9/2026</t>
  </si>
  <si>
    <t>DO00001720</t>
  </si>
  <si>
    <t>INV00001721</t>
  </si>
  <si>
    <t>DO00001721</t>
  </si>
  <si>
    <t>RINGGIT MALAYSIA : FOUR HUNDRED AND THIRTY EIGHT ONLY.</t>
  </si>
  <si>
    <t>RA CSM 600 1040mm(W) (37kg)</t>
  </si>
  <si>
    <t>RINGGIT MALAYSIA : ONE THOUSAND FOUR HUNDRED TWENTY FOUR AND CENTS FIFTY ONLY.</t>
  </si>
  <si>
    <t>2/9/2026</t>
  </si>
  <si>
    <t>INV00001722</t>
  </si>
  <si>
    <t>DO00001722</t>
  </si>
  <si>
    <t>0926</t>
  </si>
  <si>
    <t>INV00001723</t>
  </si>
  <si>
    <t>3/9/2026</t>
  </si>
  <si>
    <t>DO00001723</t>
  </si>
  <si>
    <t>RINGGIT MALAYSIA : TWO THOUSAND EIGHT HUNDRED AND SEVENTEEN ONLY.</t>
  </si>
  <si>
    <t>RINGGIT MALAYSIA : FIFTEEN THOUSAND THREE AND EIGHTY FIVE ONLY.</t>
  </si>
  <si>
    <t>INV00001724</t>
  </si>
  <si>
    <t>4/9/2026</t>
  </si>
  <si>
    <t>DO00001724</t>
  </si>
  <si>
    <t>RO CSM 450 1040mm(W) (30kg)</t>
  </si>
  <si>
    <t>RA Resin 268BQT (225kg)</t>
  </si>
  <si>
    <t>8 /7.90</t>
  </si>
  <si>
    <t>RINGGIT MALAYSIA : FOURTEEN THOUSAND SIX HUNDRED SIXTY FIVE AND CENTS FORTY ONLY.</t>
  </si>
  <si>
    <t>INV00001725</t>
  </si>
  <si>
    <t>5/9/2026</t>
  </si>
  <si>
    <t>DO00001725</t>
  </si>
  <si>
    <t xml:space="preserve">RM Pigment White (5kg)  </t>
  </si>
  <si>
    <t xml:space="preserve">RM Acetone (163kg)  </t>
  </si>
  <si>
    <t>RINGGIT MALAYSIA : TWENTY THOUSAND SIX HUNDRED AND FIFTY FOUR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</si>
</sst>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409]dd/mm/yyyy"/>
    <numFmt numFmtId="165" formatCode="#,##0.00&quot; &quot;;#,##0.00&quot; &quot;;&quot;-&quot;#&quot; &quot;;&quot; &quot;@"/>
    <numFmt numFmtId="166" formatCode="#,##0.00_ ;[Red]\-#,##0.00\ "/>
  </numFmts>
  <fonts count="23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2"/>
      <color rgb="FF000000"/>
      <name val="Arial"/>
      <family val="2"/>
    </font>
    <font>
      <b/>
      <i/>
      <sz val="12"/>
      <color rgb="FF0070C0"/>
      <name val="Calibri"/>
      <family val="2"/>
    </font>
    <font>
      <strike/>
      <sz val="11"/>
      <color rgb="FF00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33CC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2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/>
    <xf numFmtId="164" fontId="4" fillId="0" borderId="0" xfId="0" quotePrefix="1" applyNumberFormat="1" applyFont="1"/>
    <xf numFmtId="0" fontId="2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quotePrefix="1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center"/>
    </xf>
    <xf numFmtId="14" fontId="4" fillId="0" borderId="7" xfId="0" applyNumberFormat="1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165" fontId="4" fillId="0" borderId="0" xfId="0" applyNumberFormat="1" applyFont="1"/>
    <xf numFmtId="165" fontId="4" fillId="0" borderId="7" xfId="0" applyNumberFormat="1" applyFont="1" applyBorder="1"/>
    <xf numFmtId="43" fontId="2" fillId="0" borderId="0" xfId="1" applyFont="1" applyAlignment="1">
      <alignment horizontal="center"/>
    </xf>
    <xf numFmtId="43" fontId="2" fillId="0" borderId="0" xfId="1" applyFont="1"/>
    <xf numFmtId="0" fontId="5" fillId="0" borderId="0" xfId="0" applyFont="1" applyAlignment="1">
      <alignment horizontal="left"/>
    </xf>
    <xf numFmtId="43" fontId="5" fillId="0" borderId="0" xfId="1" applyFont="1" applyFill="1" applyAlignment="1">
      <alignment horizontal="right"/>
    </xf>
    <xf numFmtId="0" fontId="4" fillId="0" borderId="5" xfId="0" applyFont="1" applyBorder="1" applyAlignment="1">
      <alignment horizontal="center" vertical="center"/>
    </xf>
    <xf numFmtId="0" fontId="7" fillId="0" borderId="0" xfId="0" applyFont="1"/>
    <xf numFmtId="165" fontId="4" fillId="0" borderId="0" xfId="0" applyNumberFormat="1" applyFont="1" applyAlignment="1">
      <alignment horizontal="right"/>
    </xf>
    <xf numFmtId="0" fontId="4" fillId="0" borderId="8" xfId="0" applyFont="1" applyBorder="1"/>
    <xf numFmtId="0" fontId="4" fillId="0" borderId="9" xfId="0" applyFont="1" applyBorder="1"/>
    <xf numFmtId="0" fontId="4" fillId="0" borderId="1" xfId="0" applyFont="1" applyBorder="1"/>
    <xf numFmtId="0" fontId="4" fillId="0" borderId="10" xfId="0" applyFont="1" applyBorder="1"/>
    <xf numFmtId="165" fontId="4" fillId="0" borderId="1" xfId="0" applyNumberFormat="1" applyFont="1" applyBorder="1"/>
    <xf numFmtId="165" fontId="4" fillId="0" borderId="10" xfId="0" applyNumberFormat="1" applyFont="1" applyBorder="1"/>
    <xf numFmtId="0" fontId="4" fillId="2" borderId="11" xfId="0" applyFont="1" applyFill="1" applyBorder="1"/>
    <xf numFmtId="0" fontId="4" fillId="2" borderId="3" xfId="0" applyFont="1" applyFill="1" applyBorder="1"/>
    <xf numFmtId="165" fontId="4" fillId="2" borderId="3" xfId="0" applyNumberFormat="1" applyFont="1" applyFill="1" applyBorder="1"/>
    <xf numFmtId="165" fontId="4" fillId="3" borderId="3" xfId="0" applyNumberFormat="1" applyFont="1" applyFill="1" applyBorder="1"/>
    <xf numFmtId="165" fontId="4" fillId="2" borderId="4" xfId="0" applyNumberFormat="1" applyFont="1" applyFill="1" applyBorder="1"/>
    <xf numFmtId="165" fontId="2" fillId="0" borderId="0" xfId="0" applyNumberFormat="1" applyFont="1"/>
    <xf numFmtId="0" fontId="5" fillId="0" borderId="0" xfId="2" applyFont="1"/>
    <xf numFmtId="14" fontId="4" fillId="0" borderId="7" xfId="2" applyNumberFormat="1" applyFont="1" applyBorder="1" applyAlignment="1">
      <alignment horizontal="left"/>
    </xf>
    <xf numFmtId="0" fontId="4" fillId="0" borderId="0" xfId="2" applyFont="1"/>
    <xf numFmtId="14" fontId="5" fillId="0" borderId="0" xfId="0" applyNumberFormat="1" applyFont="1" applyAlignment="1">
      <alignment horizontal="left"/>
    </xf>
    <xf numFmtId="0" fontId="6" fillId="0" borderId="0" xfId="2" applyFont="1"/>
    <xf numFmtId="0" fontId="2" fillId="0" borderId="0" xfId="0" quotePrefix="1" applyFont="1" applyAlignment="1">
      <alignment horizontal="right"/>
    </xf>
    <xf numFmtId="43" fontId="2" fillId="0" borderId="0" xfId="1" quotePrefix="1" applyFont="1" applyAlignment="1">
      <alignment horizontal="right"/>
    </xf>
    <xf numFmtId="0" fontId="6" fillId="0" borderId="6" xfId="0" applyFont="1" applyBorder="1"/>
    <xf numFmtId="0" fontId="6" fillId="0" borderId="7" xfId="0" applyFont="1" applyBorder="1"/>
    <xf numFmtId="165" fontId="6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4" fontId="6" fillId="0" borderId="0" xfId="0" quotePrefix="1" applyNumberFormat="1" applyFont="1"/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3" borderId="3" xfId="0" applyFont="1" applyFill="1" applyBorder="1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0" borderId="5" xfId="0" applyFont="1" applyBorder="1"/>
    <xf numFmtId="0" fontId="0" fillId="0" borderId="0" xfId="0" quotePrefix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6" fillId="0" borderId="5" xfId="0" applyFont="1" applyBorder="1" applyAlignment="1">
      <alignment horizontal="center"/>
    </xf>
    <xf numFmtId="165" fontId="8" fillId="0" borderId="0" xfId="0" applyNumberFormat="1" applyFont="1"/>
    <xf numFmtId="165" fontId="6" fillId="0" borderId="7" xfId="0" applyNumberFormat="1" applyFont="1" applyBorder="1"/>
    <xf numFmtId="43" fontId="0" fillId="0" borderId="0" xfId="1" applyFont="1"/>
    <xf numFmtId="43" fontId="0" fillId="0" borderId="0" xfId="1" applyFont="1" applyAlignment="1">
      <alignment horizontal="center"/>
    </xf>
    <xf numFmtId="43" fontId="0" fillId="5" borderId="0" xfId="1" applyFont="1" applyFill="1"/>
    <xf numFmtId="0" fontId="4" fillId="0" borderId="0" xfId="3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43" fontId="13" fillId="0" borderId="0" xfId="0" applyNumberFormat="1" applyFont="1"/>
    <xf numFmtId="0" fontId="12" fillId="0" borderId="0" xfId="0" applyFont="1" applyAlignment="1">
      <alignment horizontal="left"/>
    </xf>
    <xf numFmtId="166" fontId="12" fillId="0" borderId="0" xfId="0" applyNumberFormat="1" applyFont="1"/>
    <xf numFmtId="14" fontId="14" fillId="0" borderId="0" xfId="0" applyNumberFormat="1" applyFont="1" applyAlignment="1">
      <alignment horizontal="center"/>
    </xf>
    <xf numFmtId="0" fontId="0" fillId="0" borderId="0" xfId="0" quotePrefix="1"/>
    <xf numFmtId="14" fontId="12" fillId="0" borderId="0" xfId="0" applyNumberFormat="1" applyFont="1" applyAlignment="1">
      <alignment horizontal="center"/>
    </xf>
    <xf numFmtId="43" fontId="12" fillId="0" borderId="0" xfId="1" applyFont="1"/>
    <xf numFmtId="14" fontId="15" fillId="0" borderId="0" xfId="0" applyNumberFormat="1" applyFont="1" applyAlignment="1">
      <alignment horizontal="center"/>
    </xf>
    <xf numFmtId="0" fontId="15" fillId="0" borderId="0" xfId="0" quotePrefix="1" applyFont="1"/>
    <xf numFmtId="43" fontId="15" fillId="0" borderId="0" xfId="1" applyFont="1" applyAlignment="1">
      <alignment horizontal="center"/>
    </xf>
    <xf numFmtId="0" fontId="12" fillId="0" borderId="0" xfId="0" quotePrefix="1" applyFont="1" applyAlignment="1">
      <alignment horizontal="center"/>
    </xf>
    <xf numFmtId="43" fontId="12" fillId="0" borderId="0" xfId="1" applyFont="1" applyBorder="1"/>
    <xf numFmtId="14" fontId="0" fillId="0" borderId="0" xfId="0" applyNumberFormat="1" applyAlignment="1">
      <alignment horizontal="center"/>
    </xf>
    <xf numFmtId="166" fontId="12" fillId="0" borderId="0" xfId="1" applyNumberFormat="1" applyFont="1" applyFill="1" applyBorder="1"/>
    <xf numFmtId="43" fontId="12" fillId="0" borderId="0" xfId="0" applyNumberFormat="1" applyFont="1"/>
    <xf numFmtId="14" fontId="15" fillId="0" borderId="0" xfId="0" quotePrefix="1" applyNumberFormat="1" applyFont="1" applyAlignment="1">
      <alignment horizontal="center"/>
    </xf>
    <xf numFmtId="43" fontId="12" fillId="0" borderId="0" xfId="1" applyFont="1" applyAlignment="1">
      <alignment horizontal="center"/>
    </xf>
    <xf numFmtId="14" fontId="0" fillId="0" borderId="0" xfId="0" quotePrefix="1" applyNumberFormat="1" applyAlignment="1">
      <alignment horizontal="center"/>
    </xf>
    <xf numFmtId="43" fontId="14" fillId="0" borderId="0" xfId="1" applyFont="1" applyAlignment="1">
      <alignment horizontal="center"/>
    </xf>
    <xf numFmtId="43" fontId="12" fillId="0" borderId="0" xfId="1" quotePrefix="1" applyFont="1" applyAlignment="1">
      <alignment horizontal="center"/>
    </xf>
    <xf numFmtId="43" fontId="0" fillId="0" borderId="0" xfId="1" applyFont="1" applyAlignment="1">
      <alignment horizontal="right"/>
    </xf>
    <xf numFmtId="14" fontId="14" fillId="0" borderId="0" xfId="0" quotePrefix="1" applyNumberFormat="1" applyFont="1" applyAlignment="1">
      <alignment horizontal="center"/>
    </xf>
    <xf numFmtId="43" fontId="14" fillId="0" borderId="0" xfId="1" applyFont="1" applyBorder="1" applyAlignment="1">
      <alignment horizontal="center"/>
    </xf>
    <xf numFmtId="43" fontId="16" fillId="0" borderId="0" xfId="1" applyFont="1" applyBorder="1" applyAlignment="1">
      <alignment horizontal="center"/>
    </xf>
    <xf numFmtId="14" fontId="16" fillId="0" borderId="0" xfId="0" quotePrefix="1" applyNumberFormat="1" applyFont="1" applyAlignment="1">
      <alignment horizontal="center"/>
    </xf>
    <xf numFmtId="43" fontId="13" fillId="0" borderId="12" xfId="1" quotePrefix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/>
    <xf numFmtId="0" fontId="6" fillId="0" borderId="1" xfId="0" applyFont="1" applyBorder="1"/>
    <xf numFmtId="0" fontId="6" fillId="0" borderId="10" xfId="0" applyFont="1" applyBorder="1"/>
    <xf numFmtId="165" fontId="6" fillId="0" borderId="1" xfId="0" applyNumberFormat="1" applyFont="1" applyBorder="1"/>
    <xf numFmtId="165" fontId="6" fillId="0" borderId="10" xfId="0" applyNumberFormat="1" applyFont="1" applyBorder="1"/>
    <xf numFmtId="43" fontId="13" fillId="0" borderId="13" xfId="0" applyNumberFormat="1" applyFont="1" applyBorder="1"/>
    <xf numFmtId="0" fontId="12" fillId="0" borderId="0" xfId="0" applyFont="1"/>
    <xf numFmtId="0" fontId="6" fillId="2" borderId="11" xfId="0" applyFont="1" applyFill="1" applyBorder="1"/>
    <xf numFmtId="0" fontId="6" fillId="2" borderId="3" xfId="0" applyFont="1" applyFill="1" applyBorder="1"/>
    <xf numFmtId="165" fontId="6" fillId="2" borderId="3" xfId="0" applyNumberFormat="1" applyFont="1" applyFill="1" applyBorder="1"/>
    <xf numFmtId="165" fontId="6" fillId="3" borderId="3" xfId="0" applyNumberFormat="1" applyFont="1" applyFill="1" applyBorder="1"/>
    <xf numFmtId="165" fontId="6" fillId="2" borderId="4" xfId="0" applyNumberFormat="1" applyFont="1" applyFill="1" applyBorder="1"/>
    <xf numFmtId="43" fontId="0" fillId="0" borderId="14" xfId="1" applyFont="1" applyBorder="1"/>
    <xf numFmtId="43" fontId="12" fillId="0" borderId="0" xfId="1" quotePrefix="1" applyFont="1" applyBorder="1" applyAlignment="1">
      <alignment horizontal="center"/>
    </xf>
    <xf numFmtId="0" fontId="14" fillId="0" borderId="0" xfId="0" quotePrefix="1" applyFont="1" applyAlignment="1">
      <alignment horizontal="center"/>
    </xf>
    <xf numFmtId="166" fontId="17" fillId="0" borderId="0" xfId="1" applyNumberFormat="1" applyFont="1" applyFill="1" applyBorder="1"/>
    <xf numFmtId="166" fontId="0" fillId="0" borderId="0" xfId="0" applyNumberFormat="1"/>
    <xf numFmtId="166" fontId="0" fillId="0" borderId="0" xfId="1" applyNumberFormat="1" applyFont="1" applyFill="1" applyBorder="1"/>
    <xf numFmtId="0" fontId="16" fillId="0" borderId="0" xfId="0" applyFont="1" applyAlignment="1">
      <alignment horizontal="center"/>
    </xf>
    <xf numFmtId="43" fontId="0" fillId="0" borderId="0" xfId="1" applyFont="1" applyBorder="1"/>
    <xf numFmtId="0" fontId="11" fillId="0" borderId="0" xfId="0" applyFont="1"/>
    <xf numFmtId="0" fontId="16" fillId="0" borderId="0" xfId="0" quotePrefix="1" applyFont="1" applyAlignment="1">
      <alignment horizontal="center"/>
    </xf>
    <xf numFmtId="43" fontId="17" fillId="0" borderId="0" xfId="1" applyFont="1" applyBorder="1"/>
    <xf numFmtId="165" fontId="0" fillId="0" borderId="0" xfId="0" applyNumberFormat="1"/>
    <xf numFmtId="43" fontId="14" fillId="0" borderId="0" xfId="0" applyNumberFormat="1" applyFont="1" applyAlignment="1">
      <alignment horizontal="center"/>
    </xf>
    <xf numFmtId="43" fontId="0" fillId="0" borderId="0" xfId="0" applyNumberFormat="1"/>
    <xf numFmtId="43" fontId="17" fillId="0" borderId="0" xfId="0" applyNumberFormat="1" applyFont="1"/>
    <xf numFmtId="14" fontId="16" fillId="0" borderId="0" xfId="0" applyNumberFormat="1" applyFont="1" applyAlignment="1">
      <alignment horizontal="center"/>
    </xf>
    <xf numFmtId="166" fontId="14" fillId="0" borderId="0" xfId="0" quotePrefix="1" applyNumberFormat="1" applyFont="1" applyAlignment="1">
      <alignment horizontal="right"/>
    </xf>
    <xf numFmtId="43" fontId="15" fillId="0" borderId="0" xfId="1" quotePrefix="1" applyFont="1" applyAlignment="1">
      <alignment horizontal="center"/>
    </xf>
    <xf numFmtId="43" fontId="0" fillId="0" borderId="0" xfId="1" quotePrefix="1" applyFont="1" applyAlignment="1">
      <alignment horizontal="center"/>
    </xf>
    <xf numFmtId="43" fontId="0" fillId="0" borderId="0" xfId="1" quotePrefix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Fill="1" applyBorder="1"/>
    <xf numFmtId="43" fontId="14" fillId="0" borderId="0" xfId="0" applyNumberFormat="1" applyFont="1"/>
    <xf numFmtId="0" fontId="18" fillId="0" borderId="0" xfId="0" applyFont="1"/>
    <xf numFmtId="165" fontId="19" fillId="0" borderId="0" xfId="0" applyNumberFormat="1" applyFont="1" applyAlignment="1">
      <alignment horizontal="right"/>
    </xf>
    <xf numFmtId="165" fontId="19" fillId="0" borderId="7" xfId="0" applyNumberFormat="1" applyFont="1" applyBorder="1" applyAlignment="1">
      <alignment horizontal="right"/>
    </xf>
    <xf numFmtId="0" fontId="18" fillId="0" borderId="0" xfId="0" quotePrefix="1" applyFont="1" applyAlignment="1">
      <alignment horizontal="center"/>
    </xf>
    <xf numFmtId="43" fontId="18" fillId="0" borderId="0" xfId="1" applyFont="1" applyAlignment="1">
      <alignment horizontal="center"/>
    </xf>
    <xf numFmtId="0" fontId="6" fillId="0" borderId="6" xfId="2" applyFont="1" applyBorder="1"/>
    <xf numFmtId="0" fontId="6" fillId="0" borderId="7" xfId="2" applyFont="1" applyBorder="1"/>
    <xf numFmtId="43" fontId="18" fillId="0" borderId="0" xfId="1" applyFont="1"/>
    <xf numFmtId="0" fontId="4" fillId="0" borderId="0" xfId="1" applyNumberFormat="1" applyFont="1" applyAlignment="1">
      <alignment horizontal="left"/>
    </xf>
    <xf numFmtId="0" fontId="6" fillId="0" borderId="0" xfId="1" applyNumberFormat="1" applyFont="1" applyAlignment="1">
      <alignment horizontal="left"/>
    </xf>
    <xf numFmtId="165" fontId="6" fillId="0" borderId="15" xfId="0" applyNumberFormat="1" applyFont="1" applyBorder="1"/>
    <xf numFmtId="43" fontId="2" fillId="0" borderId="0" xfId="1" quotePrefix="1" applyFont="1"/>
    <xf numFmtId="43" fontId="6" fillId="0" borderId="0" xfId="1" applyFont="1"/>
    <xf numFmtId="14" fontId="4" fillId="0" borderId="0" xfId="0" applyNumberFormat="1" applyFont="1" applyAlignment="1">
      <alignment horizontal="left"/>
    </xf>
    <xf numFmtId="0" fontId="4" fillId="0" borderId="0" xfId="4" applyNumberFormat="1" applyFont="1" applyAlignment="1">
      <alignment horizontal="left"/>
    </xf>
    <xf numFmtId="0" fontId="10" fillId="0" borderId="6" xfId="0" applyFont="1" applyBorder="1"/>
    <xf numFmtId="0" fontId="10" fillId="0" borderId="7" xfId="0" applyFont="1" applyBorder="1"/>
    <xf numFmtId="43" fontId="6" fillId="0" borderId="0" xfId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4" fontId="0" fillId="0" borderId="0" xfId="0" quotePrefix="1" applyNumberFormat="1"/>
    <xf numFmtId="43" fontId="0" fillId="0" borderId="0" xfId="1" applyFont="1" applyFill="1" applyBorder="1" applyAlignment="1">
      <alignment horizontal="center"/>
    </xf>
    <xf numFmtId="14" fontId="6" fillId="0" borderId="7" xfId="0" applyNumberFormat="1" applyFont="1" applyBorder="1" applyAlignment="1">
      <alignment horizontal="left"/>
    </xf>
    <xf numFmtId="0" fontId="0" fillId="0" borderId="0" xfId="0" applyAlignment="1">
      <alignment horizontal="right"/>
    </xf>
    <xf numFmtId="0" fontId="4" fillId="0" borderId="6" xfId="2" applyFont="1" applyBorder="1"/>
    <xf numFmtId="165" fontId="6" fillId="0" borderId="0" xfId="2" applyNumberFormat="1" applyFont="1"/>
    <xf numFmtId="43" fontId="8" fillId="0" borderId="0" xfId="1" applyFont="1" applyAlignment="1">
      <alignment horizontal="center"/>
    </xf>
    <xf numFmtId="43" fontId="8" fillId="0" borderId="0" xfId="1" applyFont="1" applyFill="1" applyAlignment="1">
      <alignment horizontal="center"/>
    </xf>
    <xf numFmtId="43" fontId="0" fillId="0" borderId="13" xfId="0" applyNumberFormat="1" applyBorder="1"/>
    <xf numFmtId="14" fontId="4" fillId="0" borderId="0" xfId="2" applyNumberFormat="1" applyFont="1" applyAlignment="1">
      <alignment horizontal="left"/>
    </xf>
    <xf numFmtId="0" fontId="0" fillId="0" borderId="0" xfId="0" quotePrefix="1" applyAlignment="1">
      <alignment horizontal="right"/>
    </xf>
    <xf numFmtId="43" fontId="10" fillId="0" borderId="0" xfId="1" applyFont="1"/>
    <xf numFmtId="43" fontId="10" fillId="0" borderId="1" xfId="1" applyFont="1" applyBorder="1"/>
    <xf numFmtId="0" fontId="5" fillId="0" borderId="0" xfId="1" applyNumberFormat="1" applyFont="1"/>
    <xf numFmtId="0" fontId="6" fillId="0" borderId="0" xfId="1" applyNumberFormat="1" applyFont="1"/>
    <xf numFmtId="0" fontId="5" fillId="0" borderId="0" xfId="1" applyNumberFormat="1" applyFont="1" applyAlignment="1">
      <alignment horizontal="left"/>
    </xf>
    <xf numFmtId="0" fontId="6" fillId="0" borderId="0" xfId="1" applyNumberFormat="1" applyFont="1" applyAlignment="1"/>
    <xf numFmtId="43" fontId="6" fillId="0" borderId="1" xfId="1" applyFont="1" applyBorder="1"/>
    <xf numFmtId="43" fontId="6" fillId="2" borderId="3" xfId="1" applyFont="1" applyFill="1" applyBorder="1"/>
    <xf numFmtId="43" fontId="0" fillId="0" borderId="0" xfId="1" quotePrefix="1" applyFont="1"/>
    <xf numFmtId="43" fontId="4" fillId="0" borderId="0" xfId="1" applyFont="1"/>
    <xf numFmtId="43" fontId="14" fillId="0" borderId="16" xfId="1" applyFont="1" applyBorder="1" applyAlignment="1">
      <alignment horizontal="center"/>
    </xf>
    <xf numFmtId="43" fontId="14" fillId="6" borderId="0" xfId="1" applyFont="1" applyFill="1" applyBorder="1" applyAlignment="1">
      <alignment horizontal="center"/>
    </xf>
    <xf numFmtId="166" fontId="0" fillId="6" borderId="0" xfId="0" applyNumberFormat="1" applyFill="1"/>
    <xf numFmtId="43" fontId="15" fillId="0" borderId="0" xfId="1" applyFont="1" applyFill="1" applyAlignment="1">
      <alignment horizontal="center"/>
    </xf>
    <xf numFmtId="43" fontId="15" fillId="0" borderId="0" xfId="1" applyFont="1" applyFill="1"/>
    <xf numFmtId="43" fontId="15" fillId="0" borderId="0" xfId="1" quotePrefix="1" applyFont="1" applyFill="1" applyAlignment="1">
      <alignment horizontal="center"/>
    </xf>
    <xf numFmtId="43" fontId="0" fillId="0" borderId="0" xfId="1" applyFont="1" applyFill="1"/>
    <xf numFmtId="43" fontId="0" fillId="0" borderId="16" xfId="1" applyFont="1" applyFill="1" applyBorder="1"/>
    <xf numFmtId="43" fontId="0" fillId="0" borderId="0" xfId="1" applyFont="1" applyFill="1" applyAlignment="1">
      <alignment horizontal="center"/>
    </xf>
    <xf numFmtId="0" fontId="14" fillId="0" borderId="16" xfId="0" quotePrefix="1" applyFont="1" applyBorder="1" applyAlignment="1">
      <alignment horizontal="center"/>
    </xf>
    <xf numFmtId="43" fontId="22" fillId="7" borderId="0" xfId="0" applyNumberFormat="1" applyFont="1" applyFill="1"/>
    <xf numFmtId="43" fontId="13" fillId="5" borderId="0" xfId="0" applyNumberFormat="1" applyFont="1" applyFill="1"/>
    <xf numFmtId="43" fontId="22" fillId="5" borderId="0" xfId="1" applyFont="1" applyFill="1" applyBorder="1"/>
    <xf numFmtId="43" fontId="0" fillId="0" borderId="0" xfId="0" quotePrefix="1" applyNumberFormat="1" applyAlignment="1">
      <alignment horizontal="center"/>
    </xf>
    <xf numFmtId="14" fontId="6" fillId="0" borderId="0" xfId="2" applyNumberFormat="1" applyFont="1" applyAlignment="1">
      <alignment horizontal="left"/>
    </xf>
    <xf numFmtId="43" fontId="13" fillId="0" borderId="0" xfId="1" applyFont="1" applyFill="1" applyBorder="1"/>
    <xf numFmtId="0" fontId="12" fillId="0" borderId="0" xfId="0" quotePrefix="1" applyFont="1"/>
    <xf numFmtId="14" fontId="22" fillId="0" borderId="0" xfId="0" applyNumberFormat="1" applyFont="1" applyAlignment="1">
      <alignment horizontal="center"/>
    </xf>
    <xf numFmtId="0" fontId="22" fillId="0" borderId="0" xfId="0" quotePrefix="1" applyFont="1"/>
    <xf numFmtId="43" fontId="22" fillId="0" borderId="0" xfId="1" applyFont="1" applyAlignment="1">
      <alignment horizontal="center"/>
    </xf>
    <xf numFmtId="14" fontId="22" fillId="0" borderId="0" xfId="0" quotePrefix="1" applyNumberFormat="1" applyFont="1" applyAlignment="1">
      <alignment horizontal="center"/>
    </xf>
    <xf numFmtId="14" fontId="12" fillId="0" borderId="0" xfId="0" quotePrefix="1" applyNumberFormat="1" applyFont="1" applyAlignment="1">
      <alignment horizontal="center"/>
    </xf>
    <xf numFmtId="43" fontId="12" fillId="0" borderId="0" xfId="1" applyFont="1" applyBorder="1" applyAlignment="1">
      <alignment horizontal="center"/>
    </xf>
    <xf numFmtId="43" fontId="22" fillId="0" borderId="0" xfId="1" applyFont="1" applyBorder="1" applyAlignment="1">
      <alignment horizontal="center"/>
    </xf>
    <xf numFmtId="43" fontId="12" fillId="0" borderId="0" xfId="1" applyFont="1" applyFill="1" applyBorder="1"/>
    <xf numFmtId="0" fontId="2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</cellXfs>
  <cellStyles count="5">
    <cellStyle name="Comma" xfId="1" builtinId="3"/>
    <cellStyle name="Comma 2" xfId="4" xr:uid="{A7EA504F-BCD6-4814-895A-5083962A3386}"/>
    <cellStyle name="Comma 3" xfId="3" xr:uid="{EF67C036-E7E3-42A9-AFCE-B73CAA1C86F1}"/>
    <cellStyle name="Normal" xfId="0" builtinId="0"/>
    <cellStyle name="Normal 2" xfId="2" xr:uid="{052A0903-1C70-45A9-A9DA-90BB34EDE3C8}"/>
  </cellStyles>
  <dxfs count="0"/>
  <tableStyles count="0" defaultTableStyle="TableStyleMedium2" defaultPivotStyle="PivotStyleLight16"/>
  <colors>
    <mruColors>
      <color rgb="FF99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72F62FC2-4B0D-484F-A720-15B2ED369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C0496A7-2E3B-46B2-B5BD-E8E814CA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138566AB-1B02-47E0-986E-46C5F6DD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4BC53E4-6CFE-4EBD-A30C-AB63D32C1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6BB399F-9D3B-440C-82BF-7B7DC8DF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974E842-006B-4380-8A9A-B59833F85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E30B118-E4D1-4D2A-BBE9-A4640D259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C94C2A5-AEAC-40C3-84B7-5ED1173F6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AE7CE7F-6A39-4993-8B1C-3155C20CD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CC7FB9B7-5FA6-4BE2-883E-80EEF28B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CB55E791-1DA2-4C92-AEB7-83386471F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4D60D9D-E573-4064-9DC6-1E06BDD93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ABC24BA8-22E7-459D-A52F-08DF428E6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167CFD3C-285E-4A31-B2B3-C9BCB0169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D4CB1EE-3222-4C96-9FFD-650CC3603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774F9886-A305-415F-A51D-22F554263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F39470ED-2E5A-47C0-9BDD-8562A6A28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E45C693-822D-4520-922B-16C2E6669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18ADF87-9690-4ADB-9262-2A9A2769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1B532F56-591E-4FF0-923E-A7453F827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068A502B-830F-4742-9CB0-02AE495D3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C78AE42-2118-4786-9D27-A854B42C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05703DFB-3104-4F84-8576-8705FCDF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B910000-6459-4907-8E13-A76DD873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3D26341-45E2-430F-A38B-923D5C3CC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8F48CAB-CDF3-46B0-A147-F52562100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C34ADFC7-21A0-4EB5-BC2C-72EEA257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C896C8E-CAF6-4893-ABA2-240FF3A39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1A5BEC9-0D14-4888-8035-B6C9A278C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A955A40-DF58-4429-AAAE-942FBF55A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E12EA24-61AC-41AC-8FFA-68EB78A0C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2F350C7-64BF-42AE-8BF3-5C0190C8C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1F32E23-E318-48DA-B79B-F47A1382F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52C1261-E890-408F-99C0-55B95643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8403998-3ABA-4991-A16C-42779626D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113682A-86B3-4DDD-903A-57D32D6C4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BDB8A71-ECF8-4191-BA07-70F1FDDCE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798F0019-8F82-41D7-8B1E-6FE40299E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2F7320F-2E38-4EE7-8ED0-E2AC09D86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7495938-5A92-4B36-A498-A99E10F8A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3DB328D-CCD8-4C0E-B0C2-C61E6903A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5C28B91-D04D-4E2A-BF1C-43E14A070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C55C9BC1-68A6-4E53-8AC8-EFC56FEBE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F982F6C6-0DBC-42A0-B55A-5D08FAAA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54C5548-DE03-45D2-8528-A64717726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02DF7D11-56CD-40AE-B817-70D4D2FEE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B6836CD-62A9-4846-BD05-FFA914132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8C42159-ACCF-4F91-BED6-3713EEB21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564411D-CA9C-4489-8B77-A07FC16F3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8341F63-5797-4C37-A48A-2F2D7F295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1CB3846-4399-474C-8904-2BCC5CE6F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CDBBB0F-D2EC-444C-ADCC-B31D423CF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6255233-83A2-429E-AB16-293EEDED9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25C3C9C-5D8C-4004-8351-907841E1E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A82B75A-6C75-469F-B83F-84362F494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51504A5E-2E1F-40AC-867E-2C04ED3C6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44C36B8-471D-4760-AA94-8A22C0E29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9641423-A5A1-490B-8458-50F9869F0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B7BB07F-1418-4043-823C-CAB5922F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E2E3418-6AB2-425F-9541-7F702D8A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9806702-F344-4C74-9547-675B73E67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8ACF7AC-1ED1-48D4-BCD7-66340DBA4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A4D8032-8FF4-4E13-8174-F801E6D27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D3C0E96-23C8-46A3-B6CE-5D4106E82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5D317442-CAD0-4616-B2DE-DEFD8DDC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88CE-F6F0-4FAD-9981-B609E48506A8}">
  <sheetPr codeName="Sheet1"/>
  <dimension ref="A1:AE1000"/>
  <sheetViews>
    <sheetView topLeftCell="B16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33203125" style="1" customWidth="1"/>
    <col min="18" max="18" width="7.1640625" style="1" customWidth="1"/>
    <col min="19" max="19" width="7.33203125" style="1" customWidth="1"/>
    <col min="20" max="20" width="5.5" style="1" customWidth="1"/>
    <col min="21" max="22" width="5.1640625" style="1" bestFit="1" customWidth="1"/>
    <col min="23" max="23" width="5.1640625" style="12" bestFit="1" customWidth="1"/>
    <col min="24" max="25" width="5.1640625" style="1" bestFit="1" customWidth="1"/>
    <col min="26" max="26" width="4.4140625" style="1" bestFit="1" customWidth="1"/>
    <col min="27" max="27" width="5.1640625" style="1" bestFit="1" customWidth="1"/>
    <col min="28" max="28" width="6.08203125" style="1" bestFit="1" customWidth="1"/>
    <col min="29" max="30" width="5.1640625" style="1" bestFit="1" customWidth="1"/>
    <col min="31" max="31" width="7.75" style="1" customWidth="1"/>
    <col min="32" max="1038" width="12.83203125" style="1" customWidth="1"/>
    <col min="1039" max="1039" width="8.6640625" style="1" customWidth="1"/>
    <col min="1040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15" t="s">
        <v>5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7" t="s">
        <v>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10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12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14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22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31" ht="14.25" customHeight="1" x14ac:dyDescent="0.35">
      <c r="A17" s="6"/>
      <c r="B17" s="6"/>
      <c r="C17" s="7" t="s">
        <v>24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26</v>
      </c>
      <c r="O17" s="6"/>
      <c r="AE17" s="6"/>
    </row>
    <row r="18" spans="1:31" ht="14.25" customHeight="1" x14ac:dyDescent="0.35">
      <c r="A18" s="6" t="s">
        <v>27</v>
      </c>
      <c r="B18" s="6" t="s">
        <v>7</v>
      </c>
      <c r="C18" s="7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1" ht="14.25" customHeight="1" x14ac:dyDescent="0.35">
      <c r="A19" s="6" t="s">
        <v>29</v>
      </c>
      <c r="B19" s="6" t="s">
        <v>7</v>
      </c>
      <c r="C19" s="7" t="s">
        <v>30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1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1" ht="14.25" customHeight="1" x14ac:dyDescent="0.35">
      <c r="A21" s="13" t="s">
        <v>31</v>
      </c>
      <c r="B21" s="216" t="s">
        <v>32</v>
      </c>
      <c r="C21" s="216"/>
      <c r="D21" s="216"/>
      <c r="E21" s="216"/>
      <c r="F21" s="216"/>
      <c r="G21" s="216"/>
      <c r="H21" s="216"/>
      <c r="I21" s="217" t="s">
        <v>33</v>
      </c>
      <c r="J21" s="217"/>
      <c r="K21" s="14"/>
      <c r="L21" s="15" t="s">
        <v>34</v>
      </c>
      <c r="M21" s="16"/>
      <c r="N21" s="217" t="s">
        <v>35</v>
      </c>
      <c r="O21" s="217"/>
      <c r="Q21" s="17" t="s">
        <v>36</v>
      </c>
      <c r="R21" s="17" t="s">
        <v>37</v>
      </c>
      <c r="S21" s="17" t="s">
        <v>38</v>
      </c>
      <c r="T21" s="17" t="s">
        <v>39</v>
      </c>
      <c r="U21" s="1">
        <v>1125</v>
      </c>
      <c r="V21" s="1">
        <v>1025</v>
      </c>
      <c r="W21" s="17" t="s">
        <v>40</v>
      </c>
      <c r="Y21" s="17" t="s">
        <v>41</v>
      </c>
      <c r="Z21" s="17" t="s">
        <v>42</v>
      </c>
      <c r="AA21" s="17" t="s">
        <v>43</v>
      </c>
      <c r="AB21" s="17"/>
      <c r="AC21" s="18" t="s">
        <v>44</v>
      </c>
      <c r="AD21" s="18" t="s">
        <v>45</v>
      </c>
    </row>
    <row r="22" spans="1:31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31" ht="14.25" customHeight="1" x14ac:dyDescent="0.35">
      <c r="A23" s="22">
        <v>1</v>
      </c>
      <c r="B23" s="20"/>
      <c r="C23" s="23" t="s">
        <v>46</v>
      </c>
      <c r="D23" s="6"/>
      <c r="E23" s="6"/>
      <c r="F23" s="6"/>
      <c r="G23" s="6"/>
      <c r="H23" s="6"/>
      <c r="I23" s="24">
        <v>8</v>
      </c>
      <c r="J23" s="25" t="s">
        <v>47</v>
      </c>
      <c r="K23" s="6"/>
      <c r="L23" s="26">
        <v>1710</v>
      </c>
      <c r="M23" s="27"/>
      <c r="N23" s="26"/>
      <c r="O23" s="27">
        <f>SUM(I23*L23)</f>
        <v>13680</v>
      </c>
      <c r="Q23" s="28">
        <v>7.6</v>
      </c>
      <c r="R23" s="29">
        <v>8.1</v>
      </c>
      <c r="S23" s="29">
        <v>7.6</v>
      </c>
      <c r="T23" s="29">
        <v>6.6</v>
      </c>
      <c r="U23" s="29">
        <v>6.8</v>
      </c>
      <c r="V23" s="29">
        <v>6.9</v>
      </c>
      <c r="W23" s="28">
        <v>7</v>
      </c>
      <c r="X23" s="29">
        <v>6.9</v>
      </c>
      <c r="Y23" s="29">
        <v>7.2</v>
      </c>
      <c r="AA23" s="29">
        <v>7.3</v>
      </c>
      <c r="AB23" s="29"/>
      <c r="AD23" s="29">
        <v>7.4</v>
      </c>
      <c r="AE23" s="29">
        <v>7.3</v>
      </c>
    </row>
    <row r="24" spans="1:31" ht="14.25" customHeight="1" x14ac:dyDescent="0.35">
      <c r="A24" s="22">
        <v>2</v>
      </c>
      <c r="B24" s="20"/>
      <c r="C24" s="6" t="s">
        <v>48</v>
      </c>
      <c r="D24" s="6"/>
      <c r="E24" s="6"/>
      <c r="F24" s="6"/>
      <c r="G24" s="6"/>
      <c r="H24" s="6"/>
      <c r="I24" s="20">
        <v>15</v>
      </c>
      <c r="J24" s="21" t="s">
        <v>49</v>
      </c>
      <c r="K24" s="6"/>
      <c r="L24" s="26">
        <v>214.6</v>
      </c>
      <c r="M24" s="27"/>
      <c r="N24" s="26"/>
      <c r="O24" s="27">
        <f t="shared" ref="O24:O29" si="0">SUM(I24*L24)</f>
        <v>3219</v>
      </c>
      <c r="AA24" s="29">
        <v>5.8</v>
      </c>
      <c r="AB24" s="29"/>
      <c r="AC24" s="29">
        <v>6</v>
      </c>
      <c r="AD24" s="29"/>
      <c r="AE24" s="29">
        <v>5.8</v>
      </c>
    </row>
    <row r="25" spans="1:31" ht="14.25" customHeight="1" x14ac:dyDescent="0.35">
      <c r="A25" s="22">
        <v>3</v>
      </c>
      <c r="B25" s="20"/>
      <c r="C25" s="6" t="s">
        <v>50</v>
      </c>
      <c r="D25" s="6"/>
      <c r="E25" s="6"/>
      <c r="F25" s="6"/>
      <c r="G25" s="6"/>
      <c r="H25" s="6"/>
      <c r="I25" s="20">
        <v>10</v>
      </c>
      <c r="J25" s="21" t="s">
        <v>51</v>
      </c>
      <c r="K25" s="6"/>
      <c r="L25" s="26">
        <v>57.5</v>
      </c>
      <c r="M25" s="27"/>
      <c r="N25" s="26"/>
      <c r="O25" s="27">
        <f t="shared" si="0"/>
        <v>575</v>
      </c>
      <c r="AD25" s="29"/>
      <c r="AE25" s="29">
        <v>2.2999999999999998</v>
      </c>
    </row>
    <row r="26" spans="1:31" ht="14.25" customHeight="1" x14ac:dyDescent="0.35">
      <c r="A26" s="22">
        <v>4</v>
      </c>
      <c r="B26" s="20"/>
      <c r="C26" s="30" t="s">
        <v>52</v>
      </c>
      <c r="D26" s="6"/>
      <c r="E26" s="6"/>
      <c r="F26" s="6"/>
      <c r="G26" s="6"/>
      <c r="H26" s="6"/>
      <c r="I26" s="20">
        <v>8</v>
      </c>
      <c r="J26" s="21" t="s">
        <v>53</v>
      </c>
      <c r="K26" s="6"/>
      <c r="L26" s="26">
        <v>115</v>
      </c>
      <c r="M26" s="27"/>
      <c r="N26" s="26"/>
      <c r="O26" s="27">
        <f t="shared" si="0"/>
        <v>920</v>
      </c>
      <c r="AD26" s="29"/>
    </row>
    <row r="27" spans="1:31" ht="14.25" customHeight="1" x14ac:dyDescent="0.35">
      <c r="A27" s="22">
        <v>5</v>
      </c>
      <c r="B27" s="20"/>
      <c r="C27" s="10" t="s">
        <v>54</v>
      </c>
      <c r="D27" s="6"/>
      <c r="E27" s="6"/>
      <c r="F27" s="6"/>
      <c r="G27" s="6"/>
      <c r="H27" s="6"/>
      <c r="I27" s="20">
        <v>1</v>
      </c>
      <c r="J27" s="21" t="s">
        <v>55</v>
      </c>
      <c r="K27" s="6"/>
      <c r="L27" s="31">
        <v>435</v>
      </c>
      <c r="M27" s="27"/>
      <c r="N27" s="26"/>
      <c r="O27" s="27">
        <f t="shared" si="0"/>
        <v>435</v>
      </c>
      <c r="AB27" s="29">
        <v>11.9</v>
      </c>
      <c r="AD27" s="29"/>
    </row>
    <row r="28" spans="1:31" ht="14.25" customHeight="1" x14ac:dyDescent="0.35">
      <c r="A28" s="22">
        <v>6</v>
      </c>
      <c r="B28" s="20"/>
      <c r="C28" s="30" t="s">
        <v>56</v>
      </c>
      <c r="D28" s="6"/>
      <c r="E28" s="6"/>
      <c r="F28" s="6"/>
      <c r="G28" s="6"/>
      <c r="H28" s="6"/>
      <c r="I28" s="20">
        <v>4</v>
      </c>
      <c r="J28" s="21" t="s">
        <v>57</v>
      </c>
      <c r="K28" s="6"/>
      <c r="L28" s="26">
        <v>54</v>
      </c>
      <c r="M28" s="27"/>
      <c r="N28" s="26"/>
      <c r="O28" s="27">
        <f t="shared" si="0"/>
        <v>216</v>
      </c>
    </row>
    <row r="29" spans="1:31" ht="14.25" customHeight="1" x14ac:dyDescent="0.35">
      <c r="A29" s="32">
        <v>7</v>
      </c>
      <c r="B29" s="20"/>
      <c r="C29" s="33" t="s">
        <v>58</v>
      </c>
      <c r="D29" s="6"/>
      <c r="E29" s="6"/>
      <c r="F29" s="6"/>
      <c r="G29" s="6"/>
      <c r="H29" s="6"/>
      <c r="I29" s="20">
        <v>1</v>
      </c>
      <c r="J29" s="21" t="s">
        <v>57</v>
      </c>
      <c r="K29" s="6"/>
      <c r="L29" s="34">
        <v>696</v>
      </c>
      <c r="M29" s="27"/>
      <c r="N29" s="26"/>
      <c r="O29" s="27">
        <f t="shared" si="0"/>
        <v>696</v>
      </c>
    </row>
    <row r="30" spans="1:31" ht="14.25" customHeight="1" x14ac:dyDescent="0.35">
      <c r="A30" s="22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31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31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19741</v>
      </c>
    </row>
    <row r="55" spans="1:15" ht="14.25" customHeight="1" x14ac:dyDescent="0.35">
      <c r="A55" s="6" t="s">
        <v>61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B66D-7888-4044-B1DE-4447A7726447}">
  <sheetPr codeName="Sheet2"/>
  <dimension ref="A1:Q1000"/>
  <sheetViews>
    <sheetView topLeftCell="A15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33203125" style="1" customWidth="1"/>
    <col min="18" max="1010" width="12.83203125" style="1" customWidth="1"/>
    <col min="1011" max="1011" width="8.6640625" style="1" customWidth="1"/>
    <col min="1012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15" t="s">
        <v>5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47" t="s">
        <v>68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69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70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71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47" t="s">
        <v>72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 t="s">
        <v>73</v>
      </c>
      <c r="O14" s="6"/>
    </row>
    <row r="15" spans="1:15" ht="14.25" customHeight="1" x14ac:dyDescent="0.35">
      <c r="A15" s="6"/>
      <c r="B15" s="6"/>
      <c r="C15" s="47" t="s">
        <v>74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47" t="s">
        <v>75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17" ht="14.25" customHeight="1" x14ac:dyDescent="0.35">
      <c r="A17" s="6"/>
      <c r="B17" s="6"/>
      <c r="C17" s="47"/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76</v>
      </c>
      <c r="O17" s="6"/>
    </row>
    <row r="18" spans="1:17" ht="14.25" customHeight="1" x14ac:dyDescent="0.35">
      <c r="A18" s="6" t="s">
        <v>27</v>
      </c>
      <c r="B18" s="6" t="s">
        <v>7</v>
      </c>
      <c r="C18" s="47" t="s">
        <v>77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7" ht="14.25" customHeight="1" x14ac:dyDescent="0.35">
      <c r="A19" s="6" t="s">
        <v>29</v>
      </c>
      <c r="B19" s="6" t="s">
        <v>7</v>
      </c>
      <c r="C19" s="47" t="s">
        <v>78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7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7" ht="14.25" customHeight="1" x14ac:dyDescent="0.35">
      <c r="A21" s="13" t="s">
        <v>31</v>
      </c>
      <c r="B21" s="216" t="s">
        <v>32</v>
      </c>
      <c r="C21" s="216"/>
      <c r="D21" s="216"/>
      <c r="E21" s="216"/>
      <c r="F21" s="216"/>
      <c r="G21" s="216"/>
      <c r="H21" s="216"/>
      <c r="I21" s="217" t="s">
        <v>33</v>
      </c>
      <c r="J21" s="217"/>
      <c r="K21" s="14"/>
      <c r="L21" s="15" t="s">
        <v>34</v>
      </c>
      <c r="M21" s="16"/>
      <c r="N21" s="217" t="s">
        <v>35</v>
      </c>
      <c r="O21" s="217"/>
      <c r="Q21" s="17" t="s">
        <v>36</v>
      </c>
    </row>
    <row r="22" spans="1:17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17" ht="14.25" customHeight="1" x14ac:dyDescent="0.35">
      <c r="A23" s="22">
        <v>1</v>
      </c>
      <c r="B23" s="20"/>
      <c r="C23" s="48" t="s">
        <v>79</v>
      </c>
      <c r="D23" s="6"/>
      <c r="E23" s="6"/>
      <c r="F23" s="6"/>
      <c r="G23" s="6"/>
      <c r="H23" s="6"/>
      <c r="I23" s="24">
        <v>1</v>
      </c>
      <c r="J23" s="25" t="s">
        <v>47</v>
      </c>
      <c r="K23" s="6"/>
      <c r="L23" s="26">
        <v>1912.5</v>
      </c>
      <c r="M23" s="27"/>
      <c r="N23" s="26"/>
      <c r="O23" s="27">
        <f>SUM(I23*L23)</f>
        <v>1912.5</v>
      </c>
      <c r="Q23" s="28">
        <v>8.5</v>
      </c>
    </row>
    <row r="24" spans="1:17" ht="14.25" customHeight="1" x14ac:dyDescent="0.35">
      <c r="A24" s="22">
        <v>2</v>
      </c>
      <c r="B24" s="20"/>
      <c r="C24" s="49" t="s">
        <v>80</v>
      </c>
      <c r="D24" s="6"/>
      <c r="E24" s="6"/>
      <c r="F24" s="6"/>
      <c r="G24" s="6"/>
      <c r="H24" s="6"/>
      <c r="I24" s="20">
        <v>1</v>
      </c>
      <c r="J24" s="21" t="s">
        <v>49</v>
      </c>
      <c r="K24" s="6"/>
      <c r="L24" s="26">
        <v>502.5</v>
      </c>
      <c r="M24" s="27"/>
      <c r="N24" s="26"/>
      <c r="O24" s="27">
        <f t="shared" ref="O24:O31" si="0">SUM(I24*L24)</f>
        <v>502.5</v>
      </c>
    </row>
    <row r="25" spans="1:17" ht="14.25" customHeight="1" x14ac:dyDescent="0.35">
      <c r="A25" s="22">
        <v>3</v>
      </c>
      <c r="B25" s="20"/>
      <c r="C25" s="49" t="s">
        <v>81</v>
      </c>
      <c r="D25" s="6"/>
      <c r="E25" s="6"/>
      <c r="F25" s="6"/>
      <c r="G25" s="6"/>
      <c r="H25" s="6"/>
      <c r="I25" s="20">
        <v>1</v>
      </c>
      <c r="J25" s="21" t="s">
        <v>55</v>
      </c>
      <c r="K25" s="6"/>
      <c r="L25" s="26">
        <v>270</v>
      </c>
      <c r="M25" s="27"/>
      <c r="N25" s="26"/>
      <c r="O25" s="27">
        <f t="shared" si="0"/>
        <v>270</v>
      </c>
    </row>
    <row r="26" spans="1:17" ht="14.25" customHeight="1" x14ac:dyDescent="0.35">
      <c r="A26" s="22">
        <v>4</v>
      </c>
      <c r="B26" s="20"/>
      <c r="C26" s="49" t="s">
        <v>82</v>
      </c>
      <c r="D26" s="6"/>
      <c r="E26" s="6"/>
      <c r="F26" s="6"/>
      <c r="G26" s="6"/>
      <c r="H26" s="6"/>
      <c r="I26" s="20">
        <v>1</v>
      </c>
      <c r="J26" s="21" t="s">
        <v>51</v>
      </c>
      <c r="K26" s="6"/>
      <c r="L26" s="26">
        <v>65</v>
      </c>
      <c r="M26" s="27"/>
      <c r="N26" s="26"/>
      <c r="O26" s="27">
        <f t="shared" si="0"/>
        <v>65</v>
      </c>
    </row>
    <row r="27" spans="1:17" ht="14.25" customHeight="1" x14ac:dyDescent="0.35">
      <c r="A27" s="22">
        <v>5</v>
      </c>
      <c r="B27" s="20"/>
      <c r="C27" s="49" t="s">
        <v>52</v>
      </c>
      <c r="D27" s="6"/>
      <c r="E27" s="6"/>
      <c r="F27" s="6"/>
      <c r="G27" s="6"/>
      <c r="H27" s="6"/>
      <c r="I27" s="20">
        <v>1</v>
      </c>
      <c r="J27" s="21" t="s">
        <v>53</v>
      </c>
      <c r="K27" s="6"/>
      <c r="L27" s="31">
        <v>125</v>
      </c>
      <c r="M27" s="27"/>
      <c r="N27" s="26"/>
      <c r="O27" s="27">
        <f t="shared" si="0"/>
        <v>125</v>
      </c>
    </row>
    <row r="28" spans="1:17" ht="14.25" customHeight="1" x14ac:dyDescent="0.35">
      <c r="A28" s="22">
        <v>6</v>
      </c>
      <c r="B28" s="20"/>
      <c r="C28" s="49" t="s">
        <v>83</v>
      </c>
      <c r="D28" s="6"/>
      <c r="E28" s="6"/>
      <c r="F28" s="6"/>
      <c r="G28" s="6"/>
      <c r="H28" s="6"/>
      <c r="I28" s="20">
        <v>1</v>
      </c>
      <c r="J28" s="21" t="s">
        <v>84</v>
      </c>
      <c r="K28" s="6"/>
      <c r="L28" s="26">
        <v>170</v>
      </c>
      <c r="M28" s="27"/>
      <c r="N28" s="26"/>
      <c r="O28" s="27">
        <f t="shared" si="0"/>
        <v>170</v>
      </c>
    </row>
    <row r="29" spans="1:17" ht="14.25" customHeight="1" x14ac:dyDescent="0.35">
      <c r="A29" s="32">
        <v>7</v>
      </c>
      <c r="B29" s="20"/>
      <c r="C29" s="49" t="s">
        <v>85</v>
      </c>
      <c r="D29" s="6"/>
      <c r="E29" s="6"/>
      <c r="F29" s="6"/>
      <c r="G29" s="6"/>
      <c r="H29" s="6"/>
      <c r="I29" s="20">
        <v>1</v>
      </c>
      <c r="J29" s="21" t="s">
        <v>84</v>
      </c>
      <c r="K29" s="6"/>
      <c r="L29" s="34">
        <v>170</v>
      </c>
      <c r="M29" s="27"/>
      <c r="N29" s="26"/>
      <c r="O29" s="27">
        <f t="shared" si="0"/>
        <v>170</v>
      </c>
    </row>
    <row r="30" spans="1:17" ht="14.25" customHeight="1" x14ac:dyDescent="0.35">
      <c r="A30" s="22">
        <v>8</v>
      </c>
      <c r="B30" s="20"/>
      <c r="C30" s="49" t="s">
        <v>86</v>
      </c>
      <c r="D30" s="6"/>
      <c r="E30" s="6"/>
      <c r="F30" s="6"/>
      <c r="G30" s="6"/>
      <c r="H30" s="6"/>
      <c r="I30" s="20">
        <v>1</v>
      </c>
      <c r="J30" s="21" t="s">
        <v>84</v>
      </c>
      <c r="K30" s="6"/>
      <c r="L30" s="26">
        <v>190</v>
      </c>
      <c r="M30" s="27"/>
      <c r="N30" s="26"/>
      <c r="O30" s="27">
        <f t="shared" si="0"/>
        <v>190</v>
      </c>
    </row>
    <row r="31" spans="1:17" ht="14.25" customHeight="1" x14ac:dyDescent="0.35">
      <c r="A31" s="22">
        <v>9</v>
      </c>
      <c r="B31" s="20"/>
      <c r="C31" s="49" t="s">
        <v>58</v>
      </c>
      <c r="D31" s="6"/>
      <c r="E31" s="6"/>
      <c r="F31" s="6"/>
      <c r="G31" s="6"/>
      <c r="H31" s="6"/>
      <c r="I31" s="20">
        <v>1</v>
      </c>
      <c r="J31" s="21" t="s">
        <v>87</v>
      </c>
      <c r="K31" s="6"/>
      <c r="L31" s="26">
        <v>60</v>
      </c>
      <c r="M31" s="27"/>
      <c r="N31" s="26"/>
      <c r="O31" s="27">
        <f t="shared" si="0"/>
        <v>60</v>
      </c>
    </row>
    <row r="32" spans="1:17" ht="14.25" customHeight="1" x14ac:dyDescent="0.35">
      <c r="A32" s="22">
        <v>10</v>
      </c>
      <c r="B32" s="20"/>
      <c r="C32" s="50" t="s">
        <v>88</v>
      </c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>
        <v>130</v>
      </c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3595</v>
      </c>
    </row>
    <row r="55" spans="1:15" ht="14.25" customHeight="1" x14ac:dyDescent="0.35">
      <c r="A55" s="51" t="s">
        <v>89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A5EE-F6C2-4CF1-AE7E-5492E35BB64A}">
  <sheetPr codeName="Sheet3"/>
  <dimension ref="A1:Y1000"/>
  <sheetViews>
    <sheetView topLeftCell="A7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6.33203125" style="1" customWidth="1"/>
    <col min="18" max="18" width="6.9140625" style="1" customWidth="1"/>
    <col min="19" max="20" width="5.4140625" style="1" customWidth="1"/>
    <col min="21" max="21" width="6.08203125" style="1" bestFit="1" customWidth="1"/>
    <col min="22" max="22" width="7" style="1" bestFit="1" customWidth="1"/>
    <col min="23" max="23" width="5.4140625" style="29" customWidth="1"/>
    <col min="24" max="25" width="5.4140625" style="1" customWidth="1"/>
    <col min="26" max="1031" width="12.83203125" style="1" customWidth="1"/>
    <col min="1032" max="1032" width="8.6640625" style="1" customWidth="1"/>
    <col min="1033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15" t="s">
        <v>5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90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91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92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93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94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95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96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5" ht="14.25" customHeight="1" x14ac:dyDescent="0.35">
      <c r="A17" s="6"/>
      <c r="B17" s="6"/>
      <c r="C17" s="7" t="s">
        <v>97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98</v>
      </c>
      <c r="O17" s="6"/>
      <c r="X17" s="6"/>
    </row>
    <row r="18" spans="1:25" ht="14.25" customHeight="1" x14ac:dyDescent="0.35">
      <c r="A18" s="6" t="s">
        <v>27</v>
      </c>
      <c r="B18" s="6" t="s">
        <v>7</v>
      </c>
      <c r="C18" s="7" t="s">
        <v>99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5" ht="14.25" customHeight="1" x14ac:dyDescent="0.35">
      <c r="A19" s="6" t="s">
        <v>29</v>
      </c>
      <c r="B19" s="6" t="s">
        <v>7</v>
      </c>
      <c r="C19" s="7" t="s">
        <v>100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5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5" ht="14.25" customHeight="1" x14ac:dyDescent="0.35">
      <c r="A21" s="13" t="s">
        <v>31</v>
      </c>
      <c r="B21" s="216" t="s">
        <v>32</v>
      </c>
      <c r="C21" s="216"/>
      <c r="D21" s="216"/>
      <c r="E21" s="216"/>
      <c r="F21" s="216"/>
      <c r="G21" s="216"/>
      <c r="H21" s="216"/>
      <c r="I21" s="217" t="s">
        <v>33</v>
      </c>
      <c r="J21" s="217"/>
      <c r="K21" s="14"/>
      <c r="L21" s="15" t="s">
        <v>34</v>
      </c>
      <c r="M21" s="16"/>
      <c r="N21" s="217" t="s">
        <v>35</v>
      </c>
      <c r="O21" s="217"/>
    </row>
    <row r="22" spans="1:25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7" t="s">
        <v>36</v>
      </c>
      <c r="R22" s="17" t="s">
        <v>38</v>
      </c>
      <c r="S22" s="52" t="s">
        <v>101</v>
      </c>
      <c r="T22" s="52" t="s">
        <v>102</v>
      </c>
      <c r="U22" s="52">
        <v>1125</v>
      </c>
      <c r="V22" s="52" t="s">
        <v>103</v>
      </c>
      <c r="W22" s="53" t="s">
        <v>45</v>
      </c>
      <c r="X22" s="12" t="s">
        <v>104</v>
      </c>
      <c r="Y22" s="12" t="s">
        <v>105</v>
      </c>
    </row>
    <row r="23" spans="1:25" ht="14.25" customHeight="1" x14ac:dyDescent="0.35">
      <c r="A23" s="22">
        <v>1</v>
      </c>
      <c r="B23" s="20"/>
      <c r="C23" s="10" t="s">
        <v>46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1822.5</v>
      </c>
      <c r="M23" s="27"/>
      <c r="N23" s="26"/>
      <c r="O23" s="27">
        <f>SUM(I23*L23)</f>
        <v>1822.5</v>
      </c>
      <c r="Q23" s="29">
        <v>8.1</v>
      </c>
      <c r="R23" s="29">
        <v>7.8</v>
      </c>
      <c r="S23" s="29"/>
      <c r="T23" s="29">
        <v>7.1</v>
      </c>
      <c r="U23" s="29">
        <v>7.5</v>
      </c>
      <c r="V23" s="29">
        <v>7.6</v>
      </c>
      <c r="X23" s="29">
        <v>7.9</v>
      </c>
      <c r="Y23" s="29">
        <v>7.9</v>
      </c>
    </row>
    <row r="24" spans="1:25" ht="14.25" customHeight="1" x14ac:dyDescent="0.35">
      <c r="A24" s="22">
        <v>2</v>
      </c>
      <c r="B24" s="20"/>
      <c r="C24" s="6" t="s">
        <v>85</v>
      </c>
      <c r="D24" s="6"/>
      <c r="E24" s="6"/>
      <c r="F24" s="6"/>
      <c r="G24" s="6"/>
      <c r="H24" s="6"/>
      <c r="I24" s="20">
        <v>1</v>
      </c>
      <c r="J24" s="21" t="s">
        <v>84</v>
      </c>
      <c r="K24" s="6"/>
      <c r="L24" s="26">
        <v>180</v>
      </c>
      <c r="M24" s="27"/>
      <c r="N24" s="26"/>
      <c r="O24" s="27">
        <f t="shared" ref="O24" si="0">SUM(I24*L24)</f>
        <v>180</v>
      </c>
      <c r="U24" s="29">
        <v>7.2</v>
      </c>
      <c r="V24" s="29">
        <v>7.2</v>
      </c>
      <c r="X24" s="29">
        <v>7.5</v>
      </c>
      <c r="Y24" s="29">
        <v>7.8</v>
      </c>
    </row>
    <row r="25" spans="1:25" ht="14.25" customHeight="1" x14ac:dyDescent="0.35">
      <c r="A25" s="22"/>
      <c r="B25" s="20"/>
      <c r="C25" s="6"/>
      <c r="D25" s="6"/>
      <c r="E25" s="6"/>
      <c r="F25" s="6"/>
      <c r="G25" s="6"/>
      <c r="H25" s="6"/>
      <c r="I25" s="20"/>
      <c r="J25" s="55"/>
      <c r="K25" s="10"/>
      <c r="L25" s="26"/>
      <c r="M25" s="27"/>
      <c r="N25" s="26"/>
      <c r="O25" s="27"/>
      <c r="U25" s="29"/>
      <c r="V25" s="29">
        <v>115</v>
      </c>
      <c r="X25" s="29"/>
      <c r="Y25" s="29"/>
    </row>
    <row r="26" spans="1:25" ht="14.25" customHeight="1" x14ac:dyDescent="0.35">
      <c r="A26" s="22"/>
      <c r="B26" s="20"/>
      <c r="C26" s="57"/>
      <c r="D26" s="6"/>
      <c r="E26" s="6"/>
      <c r="F26" s="6"/>
      <c r="G26" s="6"/>
      <c r="H26" s="6"/>
      <c r="I26" s="20"/>
      <c r="J26" s="21"/>
      <c r="K26" s="6"/>
      <c r="L26" s="26"/>
      <c r="M26" s="27"/>
      <c r="N26" s="26"/>
      <c r="O26" s="27"/>
      <c r="U26" s="29"/>
      <c r="V26" s="29"/>
      <c r="X26" s="29"/>
      <c r="Y26" s="29"/>
    </row>
    <row r="27" spans="1:25" ht="14.25" customHeight="1" x14ac:dyDescent="0.35">
      <c r="A27" s="22"/>
      <c r="B27" s="20"/>
      <c r="C27" s="6"/>
      <c r="D27" s="6"/>
      <c r="E27" s="6"/>
      <c r="F27" s="6"/>
      <c r="G27" s="6"/>
      <c r="H27" s="6"/>
      <c r="I27" s="20"/>
      <c r="J27" s="21"/>
      <c r="K27" s="6"/>
      <c r="L27" s="26"/>
      <c r="M27" s="27"/>
      <c r="N27" s="26"/>
      <c r="O27" s="27"/>
      <c r="U27" s="29">
        <v>35</v>
      </c>
      <c r="V27" s="29"/>
      <c r="X27" s="29"/>
      <c r="Y27" s="29"/>
    </row>
    <row r="28" spans="1:25" ht="14.25" customHeight="1" x14ac:dyDescent="0.35">
      <c r="A28" s="22"/>
      <c r="B28" s="20"/>
      <c r="C28" s="51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  <c r="U28" s="29">
        <v>60</v>
      </c>
      <c r="V28" s="29"/>
      <c r="X28" s="29"/>
      <c r="Y28" s="29"/>
    </row>
    <row r="29" spans="1:25" ht="14.25" customHeight="1" x14ac:dyDescent="0.35">
      <c r="A29" s="19"/>
      <c r="B29" s="20"/>
      <c r="C29" s="6"/>
      <c r="D29" s="6"/>
      <c r="E29" s="6"/>
      <c r="F29" s="6"/>
      <c r="G29" s="6"/>
      <c r="H29" s="6"/>
      <c r="I29" s="20"/>
      <c r="J29" s="21"/>
      <c r="K29" s="6"/>
      <c r="L29" s="26"/>
      <c r="M29" s="27"/>
      <c r="N29" s="26"/>
      <c r="O29" s="27"/>
      <c r="U29" s="29"/>
      <c r="V29" s="29"/>
      <c r="X29" s="29"/>
      <c r="Y29" s="29"/>
    </row>
    <row r="30" spans="1:25" ht="14.25" customHeight="1" x14ac:dyDescent="0.35">
      <c r="A30" s="19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  <c r="U30" s="29"/>
      <c r="V30" s="29"/>
      <c r="X30" s="29"/>
      <c r="Y30" s="29"/>
    </row>
    <row r="31" spans="1:25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  <c r="U31" s="29"/>
      <c r="V31" s="29"/>
      <c r="X31" s="29"/>
      <c r="Y31" s="29"/>
    </row>
    <row r="32" spans="1:25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  <c r="U32" s="29"/>
      <c r="V32" s="29"/>
      <c r="X32" s="29"/>
      <c r="Y32" s="29"/>
    </row>
    <row r="33" spans="1:2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  <c r="U33" s="29"/>
      <c r="V33" s="29"/>
      <c r="X33" s="29"/>
      <c r="Y33" s="29"/>
    </row>
    <row r="34" spans="1:2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  <c r="U34" s="29"/>
      <c r="V34" s="29"/>
      <c r="X34" s="29"/>
      <c r="Y34" s="29"/>
    </row>
    <row r="35" spans="1:2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  <c r="U35" s="29"/>
      <c r="V35" s="29"/>
      <c r="X35" s="29"/>
      <c r="Y35" s="29"/>
    </row>
    <row r="36" spans="1:2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  <c r="U36" s="29"/>
      <c r="V36" s="29"/>
      <c r="X36" s="29"/>
      <c r="Y36" s="29"/>
    </row>
    <row r="37" spans="1:25" ht="13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  <c r="U37" s="29"/>
      <c r="V37" s="29"/>
      <c r="X37" s="29"/>
      <c r="Y37" s="29"/>
    </row>
    <row r="38" spans="1:2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  <c r="U38" s="29"/>
      <c r="V38" s="29"/>
      <c r="X38" s="29"/>
      <c r="Y38" s="29"/>
    </row>
    <row r="39" spans="1:2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  <c r="U39" s="29"/>
      <c r="V39" s="29"/>
      <c r="X39" s="29"/>
      <c r="Y39" s="29"/>
    </row>
    <row r="40" spans="1:2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  <c r="U40" s="29"/>
      <c r="V40" s="29"/>
      <c r="X40" s="29"/>
      <c r="Y40" s="29"/>
    </row>
    <row r="41" spans="1:2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  <c r="U41" s="29"/>
      <c r="V41" s="29"/>
      <c r="X41" s="29"/>
      <c r="Y41" s="29"/>
    </row>
    <row r="42" spans="1:2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  <c r="U42" s="29"/>
      <c r="V42" s="29"/>
      <c r="X42" s="29"/>
      <c r="Y42" s="29"/>
    </row>
    <row r="43" spans="1:2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  <c r="U43" s="29"/>
      <c r="V43" s="29"/>
      <c r="X43" s="29"/>
      <c r="Y43" s="29"/>
    </row>
    <row r="44" spans="1:2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  <c r="U44" s="29"/>
      <c r="V44" s="29"/>
      <c r="X44" s="29"/>
      <c r="Y44" s="29"/>
    </row>
    <row r="45" spans="1:2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  <c r="U45" s="29"/>
      <c r="V45" s="29"/>
      <c r="X45" s="29"/>
      <c r="Y45" s="29"/>
    </row>
    <row r="46" spans="1:2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  <c r="U46" s="29"/>
      <c r="V46" s="29"/>
      <c r="X46" s="29"/>
      <c r="Y46" s="29"/>
    </row>
    <row r="47" spans="1:2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  <c r="U47" s="29"/>
      <c r="V47" s="29"/>
      <c r="X47" s="29"/>
      <c r="Y47" s="29"/>
    </row>
    <row r="48" spans="1:2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  <c r="U48" s="29"/>
      <c r="V48" s="29"/>
      <c r="X48" s="29"/>
      <c r="Y48" s="29"/>
    </row>
    <row r="49" spans="1:2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  <c r="U49" s="29"/>
      <c r="V49" s="29"/>
      <c r="X49" s="29"/>
      <c r="Y49" s="29"/>
    </row>
    <row r="50" spans="1:2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  <c r="U50" s="29"/>
      <c r="V50" s="29"/>
      <c r="X50" s="29"/>
      <c r="Y50" s="29"/>
    </row>
    <row r="51" spans="1:2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  <c r="U51" s="29"/>
      <c r="V51" s="29"/>
      <c r="X51" s="29"/>
      <c r="Y51" s="29"/>
    </row>
    <row r="52" spans="1:2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  <c r="U52" s="29"/>
      <c r="V52" s="29"/>
      <c r="X52" s="29"/>
      <c r="Y52" s="29"/>
    </row>
    <row r="53" spans="1:2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  <c r="U53" s="29"/>
      <c r="V53" s="29"/>
      <c r="X53" s="29"/>
      <c r="Y53" s="29"/>
    </row>
    <row r="54" spans="1:25" ht="13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2002.5</v>
      </c>
    </row>
    <row r="55" spans="1:25" ht="14.25" customHeight="1" x14ac:dyDescent="0.35">
      <c r="A55" s="6" t="s">
        <v>106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2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2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2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2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2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2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2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2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2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F453-D6C3-4F3E-948C-82255B225AB5}">
  <sheetPr codeName="Sheet4"/>
  <dimension ref="A1:AH1003"/>
  <sheetViews>
    <sheetView topLeftCell="A10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7.4140625" customWidth="1"/>
    <col min="19" max="19" width="14.58203125" bestFit="1" customWidth="1"/>
    <col min="20" max="20" width="8.4140625" bestFit="1" customWidth="1"/>
    <col min="21" max="21" width="12.6640625" customWidth="1"/>
    <col min="22" max="22" width="10.6640625" style="66" customWidth="1"/>
    <col min="23" max="23" width="10.9140625" style="66" customWidth="1"/>
    <col min="24" max="24" width="11" customWidth="1"/>
    <col min="25" max="25" width="9.75" bestFit="1" customWidth="1"/>
    <col min="26" max="26" width="10.08203125" customWidth="1"/>
    <col min="27" max="27" width="11.33203125" customWidth="1"/>
    <col min="28" max="28" width="6.58203125" customWidth="1"/>
    <col min="29" max="1028" width="12.83203125" customWidth="1"/>
    <col min="1029" max="102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108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110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112</v>
      </c>
      <c r="O17" s="10"/>
    </row>
    <row r="18" spans="1:34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37</v>
      </c>
      <c r="S22" s="72" t="s">
        <v>38</v>
      </c>
      <c r="T22" s="72" t="s">
        <v>101</v>
      </c>
      <c r="U22" s="72" t="s">
        <v>115</v>
      </c>
      <c r="V22" s="72" t="s">
        <v>39</v>
      </c>
      <c r="W22" s="66">
        <v>1225</v>
      </c>
      <c r="X22" s="72" t="s">
        <v>116</v>
      </c>
      <c r="Y22" s="72" t="s">
        <v>117</v>
      </c>
      <c r="Z22" s="72" t="s">
        <v>118</v>
      </c>
      <c r="AA22" s="73" t="s">
        <v>119</v>
      </c>
      <c r="AB22" s="74" t="s">
        <v>120</v>
      </c>
      <c r="AC22" s="74" t="s">
        <v>121</v>
      </c>
      <c r="AD22" s="75" t="s">
        <v>122</v>
      </c>
      <c r="AE22" s="74" t="s">
        <v>123</v>
      </c>
      <c r="AF22" s="74" t="s">
        <v>124</v>
      </c>
      <c r="AG22" s="74" t="s">
        <v>125</v>
      </c>
      <c r="AH22" s="74" t="s">
        <v>125</v>
      </c>
    </row>
    <row r="23" spans="1:34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10</v>
      </c>
      <c r="J23" s="55" t="s">
        <v>47</v>
      </c>
      <c r="K23" s="10"/>
      <c r="L23" s="77">
        <v>1710</v>
      </c>
      <c r="M23" s="78"/>
      <c r="N23" s="56"/>
      <c r="O23" s="78">
        <f>SUM(I23*L23)</f>
        <v>17100</v>
      </c>
      <c r="Q23" s="79"/>
      <c r="R23" s="79">
        <v>8.1</v>
      </c>
      <c r="S23" s="79">
        <v>7.9</v>
      </c>
      <c r="T23" s="79">
        <v>7.5</v>
      </c>
      <c r="U23" s="79" t="s">
        <v>127</v>
      </c>
      <c r="V23" s="79">
        <v>6.6</v>
      </c>
      <c r="W23" s="79">
        <v>6.8</v>
      </c>
      <c r="X23" s="79">
        <v>6.9</v>
      </c>
      <c r="Y23" s="79">
        <v>7</v>
      </c>
      <c r="AA23" s="79"/>
      <c r="AB23" s="66"/>
      <c r="AC23" s="80">
        <v>7.2</v>
      </c>
      <c r="AE23" s="79">
        <v>7.3</v>
      </c>
      <c r="AF23" s="79">
        <v>7.4</v>
      </c>
      <c r="AG23" s="79">
        <v>7.4</v>
      </c>
      <c r="AH23" s="79">
        <v>7.4</v>
      </c>
    </row>
    <row r="24" spans="1:34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30</v>
      </c>
      <c r="J24" s="55" t="s">
        <v>49</v>
      </c>
      <c r="K24" s="10"/>
      <c r="L24" s="77">
        <v>214.6</v>
      </c>
      <c r="M24" s="78"/>
      <c r="N24" s="56"/>
      <c r="O24" s="78">
        <f t="shared" ref="O24:O28" si="0">SUM(I24*L24)</f>
        <v>6438</v>
      </c>
      <c r="Q24" s="79"/>
      <c r="R24" s="79"/>
      <c r="S24" s="79"/>
      <c r="T24" s="79">
        <v>5.8</v>
      </c>
      <c r="U24" s="66" t="s">
        <v>128</v>
      </c>
      <c r="V24"/>
      <c r="W24"/>
      <c r="X24" s="79"/>
      <c r="Y24" s="79">
        <v>5.9</v>
      </c>
      <c r="Z24" s="79">
        <v>5.9</v>
      </c>
      <c r="AA24" s="79"/>
      <c r="AB24" s="66"/>
      <c r="AC24" s="80"/>
      <c r="AD24" s="79">
        <v>5.8</v>
      </c>
      <c r="AF24" s="79">
        <v>5.9</v>
      </c>
      <c r="AG24" s="79">
        <v>6.1</v>
      </c>
    </row>
    <row r="25" spans="1:34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15</v>
      </c>
      <c r="J25" s="55" t="s">
        <v>49</v>
      </c>
      <c r="K25" s="10"/>
      <c r="L25" s="77">
        <v>207</v>
      </c>
      <c r="M25" s="78"/>
      <c r="N25" s="56"/>
      <c r="O25" s="78">
        <f t="shared" si="0"/>
        <v>3105</v>
      </c>
      <c r="Q25" s="79"/>
      <c r="R25" s="79"/>
      <c r="S25" s="79"/>
      <c r="T25" s="79">
        <v>4.5999999999999996</v>
      </c>
      <c r="V25"/>
      <c r="W25"/>
      <c r="Y25" s="79">
        <v>5.0999999999999996</v>
      </c>
      <c r="Z25" s="79"/>
      <c r="AA25" s="79">
        <v>5.5</v>
      </c>
      <c r="AB25" s="66"/>
      <c r="AC25" s="66"/>
      <c r="AD25" s="79">
        <v>5.3</v>
      </c>
      <c r="AF25" s="79">
        <v>5.3</v>
      </c>
      <c r="AG25" s="81">
        <v>6</v>
      </c>
      <c r="AH25" s="79">
        <v>6.1</v>
      </c>
    </row>
    <row r="26" spans="1:34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8</v>
      </c>
      <c r="J26" s="55" t="s">
        <v>53</v>
      </c>
      <c r="K26" s="10"/>
      <c r="L26" s="56">
        <v>115</v>
      </c>
      <c r="M26" s="78"/>
      <c r="N26" s="56"/>
      <c r="O26" s="78">
        <f t="shared" si="0"/>
        <v>920</v>
      </c>
      <c r="Q26" s="79"/>
      <c r="R26" s="79"/>
      <c r="S26" s="79"/>
      <c r="T26" s="79"/>
      <c r="V26"/>
      <c r="W26"/>
      <c r="Y26" s="79"/>
      <c r="AA26" s="79"/>
      <c r="AB26" s="66"/>
      <c r="AC26" s="66"/>
      <c r="AH26" s="81">
        <v>5.5</v>
      </c>
    </row>
    <row r="27" spans="1:34" ht="14.25" customHeight="1" x14ac:dyDescent="0.35">
      <c r="A27" s="76">
        <v>5</v>
      </c>
      <c r="B27" s="54"/>
      <c r="C27" s="82" t="s">
        <v>130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950</v>
      </c>
      <c r="M27" s="78"/>
      <c r="N27" s="56"/>
      <c r="O27" s="78">
        <f t="shared" si="0"/>
        <v>950</v>
      </c>
      <c r="Q27" s="79"/>
      <c r="R27" s="79"/>
      <c r="S27" s="79"/>
      <c r="T27" s="79"/>
      <c r="U27" s="79"/>
    </row>
    <row r="28" spans="1:34" ht="14.25" customHeight="1" x14ac:dyDescent="0.35">
      <c r="A28" s="76">
        <v>6</v>
      </c>
      <c r="B28" s="54"/>
      <c r="C28" s="6" t="s">
        <v>131</v>
      </c>
      <c r="D28" s="6"/>
      <c r="E28" s="6"/>
      <c r="F28" s="6"/>
      <c r="G28" s="6"/>
      <c r="H28" s="6"/>
      <c r="I28" s="20">
        <v>2</v>
      </c>
      <c r="J28" s="55" t="s">
        <v>55</v>
      </c>
      <c r="K28" s="10"/>
      <c r="L28" s="56">
        <v>1000</v>
      </c>
      <c r="M28" s="78"/>
      <c r="N28" s="56"/>
      <c r="O28" s="78">
        <f t="shared" si="0"/>
        <v>2000</v>
      </c>
      <c r="Z28" s="79"/>
      <c r="AA28" s="79"/>
      <c r="AB28" s="79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S30" s="83" t="s">
        <v>13</v>
      </c>
      <c r="T30" s="83" t="s">
        <v>5</v>
      </c>
      <c r="U30" s="83" t="s">
        <v>132</v>
      </c>
      <c r="X30" s="84"/>
      <c r="Y30" s="84"/>
      <c r="Z30" s="84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S31" s="85" t="s">
        <v>133</v>
      </c>
      <c r="T31" s="85"/>
      <c r="U31" s="86">
        <f ca="1">SUM(U31:U54)</f>
        <v>162714</v>
      </c>
      <c r="X31" s="87"/>
      <c r="Y31" s="84"/>
      <c r="Z31" s="8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S32" s="89">
        <v>46175</v>
      </c>
      <c r="T32" s="90" t="s">
        <v>134</v>
      </c>
      <c r="U32" s="79">
        <v>15351.5</v>
      </c>
      <c r="X32" s="91"/>
      <c r="Y32" s="84"/>
      <c r="Z32" s="92"/>
    </row>
    <row r="33" spans="1:29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S33" s="93">
        <v>46179</v>
      </c>
      <c r="T33" s="94" t="s">
        <v>135</v>
      </c>
      <c r="U33" s="95">
        <v>-30000</v>
      </c>
      <c r="X33" s="91"/>
      <c r="Y33" s="96"/>
      <c r="Z33" s="97"/>
    </row>
    <row r="34" spans="1:29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S34" s="98">
        <v>46179</v>
      </c>
      <c r="T34" s="90" t="s">
        <v>136</v>
      </c>
      <c r="U34" s="79">
        <v>18390</v>
      </c>
      <c r="X34" s="91"/>
      <c r="Y34" s="96"/>
      <c r="Z34" s="88"/>
      <c r="AC34" s="66"/>
    </row>
    <row r="35" spans="1:29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S35" s="98">
        <v>46182</v>
      </c>
      <c r="T35" s="90" t="s">
        <v>137</v>
      </c>
      <c r="U35" s="79">
        <v>19817.5</v>
      </c>
      <c r="X35" s="91"/>
      <c r="Y35" s="96"/>
      <c r="Z35" s="97"/>
    </row>
    <row r="36" spans="1:29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S36" s="93">
        <v>46182</v>
      </c>
      <c r="T36" s="94" t="s">
        <v>135</v>
      </c>
      <c r="U36" s="95">
        <v>-18500</v>
      </c>
      <c r="X36" s="91"/>
      <c r="Y36" s="96"/>
      <c r="Z36" s="99"/>
    </row>
    <row r="37" spans="1:29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S37" s="98">
        <v>46185</v>
      </c>
      <c r="T37" s="90" t="s">
        <v>138</v>
      </c>
      <c r="U37" s="79">
        <v>19817.5</v>
      </c>
      <c r="X37" s="91"/>
      <c r="Y37" s="96"/>
      <c r="Z37" s="100"/>
    </row>
    <row r="38" spans="1:2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S38" s="93">
        <v>46185</v>
      </c>
      <c r="T38" s="94" t="s">
        <v>135</v>
      </c>
      <c r="U38" s="95">
        <v>-21000</v>
      </c>
      <c r="V38" s="101"/>
      <c r="W38" s="95"/>
      <c r="X38" s="91"/>
      <c r="Y38" s="96"/>
      <c r="Z38" s="102"/>
    </row>
    <row r="39" spans="1:2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S39" s="98">
        <v>46188</v>
      </c>
      <c r="T39" s="90" t="s">
        <v>139</v>
      </c>
      <c r="U39" s="79">
        <v>18259</v>
      </c>
      <c r="V39" s="103"/>
      <c r="W39" s="104"/>
      <c r="X39" s="91"/>
      <c r="Y39" s="96"/>
      <c r="Z39" s="100"/>
    </row>
    <row r="40" spans="1:2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S40" s="93">
        <v>46189</v>
      </c>
      <c r="T40" s="94" t="s">
        <v>135</v>
      </c>
      <c r="U40" s="95">
        <v>-50000</v>
      </c>
      <c r="V40" s="103"/>
      <c r="W40" s="104"/>
      <c r="X40" s="91"/>
      <c r="Y40" s="96"/>
      <c r="Z40" s="105"/>
    </row>
    <row r="41" spans="1:2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S41" s="98">
        <v>46190</v>
      </c>
      <c r="T41" s="90" t="s">
        <v>140</v>
      </c>
      <c r="U41" s="104">
        <v>3070</v>
      </c>
      <c r="V41" s="101"/>
      <c r="W41" s="95"/>
      <c r="X41" s="91"/>
      <c r="Y41" s="96"/>
      <c r="Z41" s="105"/>
    </row>
    <row r="42" spans="1:2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S42" s="98">
        <v>46191</v>
      </c>
      <c r="T42" s="90" t="s">
        <v>141</v>
      </c>
      <c r="U42" s="79">
        <v>29278</v>
      </c>
      <c r="V42" s="103"/>
      <c r="W42" s="106"/>
      <c r="X42" s="91"/>
      <c r="Y42" s="96"/>
      <c r="Z42" s="105"/>
    </row>
    <row r="43" spans="1:2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S43" s="93">
        <v>46195</v>
      </c>
      <c r="T43" s="94" t="s">
        <v>135</v>
      </c>
      <c r="U43" s="95">
        <v>-30000</v>
      </c>
      <c r="V43" s="103"/>
      <c r="W43" s="104"/>
      <c r="X43" s="91"/>
      <c r="Y43" s="96"/>
      <c r="Z43" s="105"/>
    </row>
    <row r="44" spans="1:2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S44" s="98">
        <v>46195</v>
      </c>
      <c r="T44" s="90" t="s">
        <v>142</v>
      </c>
      <c r="U44" s="79">
        <v>23724.400000000001</v>
      </c>
      <c r="V44" s="101"/>
      <c r="W44" s="95"/>
      <c r="X44" s="91"/>
      <c r="Y44" s="96"/>
      <c r="Z44" s="97"/>
    </row>
    <row r="45" spans="1:2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S45" s="98">
        <v>46196</v>
      </c>
      <c r="T45" s="90" t="s">
        <v>143</v>
      </c>
      <c r="U45" s="79">
        <v>1410</v>
      </c>
      <c r="V45" s="107"/>
      <c r="W45" s="108"/>
      <c r="X45" s="91"/>
      <c r="Y45" s="96"/>
      <c r="Z45" s="102"/>
    </row>
    <row r="46" spans="1:2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S46" s="98">
        <v>46198</v>
      </c>
      <c r="T46" s="90" t="s">
        <v>144</v>
      </c>
      <c r="U46" s="79">
        <v>23624.400000000001</v>
      </c>
      <c r="V46" s="107"/>
      <c r="W46" s="109"/>
      <c r="X46" s="91"/>
      <c r="Y46" s="96"/>
      <c r="Z46" s="105"/>
    </row>
    <row r="47" spans="1:2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S47" s="93">
        <v>46199</v>
      </c>
      <c r="T47" s="94" t="s">
        <v>135</v>
      </c>
      <c r="U47" s="95">
        <v>-26000</v>
      </c>
      <c r="V47" s="107"/>
      <c r="W47" s="108"/>
      <c r="X47" s="91"/>
      <c r="Y47" s="96"/>
      <c r="Z47" s="105"/>
    </row>
    <row r="48" spans="1:2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S48" s="98">
        <v>46200</v>
      </c>
      <c r="T48" s="90" t="s">
        <v>145</v>
      </c>
      <c r="U48" s="79">
        <v>14888.5</v>
      </c>
      <c r="V48" s="107"/>
      <c r="W48" s="108"/>
      <c r="X48" s="91"/>
      <c r="Y48" s="96"/>
      <c r="Z48" s="105"/>
    </row>
    <row r="49" spans="1:28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S49" s="93">
        <v>46203</v>
      </c>
      <c r="T49" s="94" t="s">
        <v>135</v>
      </c>
      <c r="U49" s="95">
        <v>-25000</v>
      </c>
      <c r="V49" s="110"/>
      <c r="W49" s="109"/>
      <c r="X49" s="91"/>
      <c r="Y49" s="96"/>
      <c r="Z49" s="105"/>
    </row>
    <row r="50" spans="1:28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S50" s="98">
        <v>46203</v>
      </c>
      <c r="T50" s="90" t="s">
        <v>146</v>
      </c>
      <c r="U50" s="79">
        <v>14937.5</v>
      </c>
      <c r="V50" s="107"/>
      <c r="W50" s="108"/>
      <c r="X50" s="91"/>
      <c r="Y50" s="96"/>
      <c r="Z50" s="102"/>
    </row>
    <row r="51" spans="1:28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S51" s="85" t="s">
        <v>147</v>
      </c>
      <c r="U51" s="111">
        <f ca="1">SUM(U31:U50)</f>
        <v>164782.29999999999</v>
      </c>
      <c r="V51" s="107"/>
      <c r="W51" s="108"/>
      <c r="X51" s="91"/>
      <c r="Y51" s="96"/>
      <c r="Z51" s="105"/>
    </row>
    <row r="52" spans="1:28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S52" s="98">
        <v>46210</v>
      </c>
      <c r="T52" s="90" t="s">
        <v>148</v>
      </c>
      <c r="U52" s="79">
        <v>30513</v>
      </c>
      <c r="V52" s="107"/>
      <c r="W52" s="108"/>
      <c r="X52" s="91"/>
      <c r="Y52" s="96"/>
      <c r="Z52" s="105"/>
    </row>
    <row r="53" spans="1:28" ht="14.25" customHeight="1" thickBot="1" x14ac:dyDescent="0.4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U53" s="118">
        <f ca="1">SUM(U51:U52)</f>
        <v>195295.3</v>
      </c>
      <c r="V53" s="107"/>
      <c r="W53" s="108"/>
      <c r="X53" s="119"/>
      <c r="Y53" s="91"/>
      <c r="Z53" s="105"/>
    </row>
    <row r="54" spans="1:28" ht="14.25" customHeight="1" thickTop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30513</v>
      </c>
      <c r="S54" s="98"/>
      <c r="T54" s="90"/>
      <c r="U54" s="125"/>
      <c r="V54" s="110"/>
      <c r="W54" s="109"/>
      <c r="X54" s="119"/>
      <c r="Y54" s="91"/>
      <c r="Z54" s="126"/>
    </row>
    <row r="55" spans="1:28" ht="14.25" customHeight="1" x14ac:dyDescent="0.35">
      <c r="A55" s="10" t="s">
        <v>149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110"/>
      <c r="W55" s="109"/>
      <c r="X55" s="119"/>
      <c r="Y55" s="91"/>
      <c r="Z55" s="84"/>
    </row>
    <row r="56" spans="1:28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27"/>
      <c r="W56" s="108"/>
      <c r="X56" s="128"/>
    </row>
    <row r="57" spans="1:28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V57" s="127"/>
      <c r="W57" s="108"/>
      <c r="X57" s="129"/>
    </row>
    <row r="58" spans="1:28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V58" s="110"/>
      <c r="W58" s="109"/>
      <c r="X58" s="130"/>
    </row>
    <row r="59" spans="1:28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V59" s="131"/>
      <c r="W59" s="109"/>
      <c r="X59" s="99"/>
    </row>
    <row r="60" spans="1:28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V60" s="127"/>
      <c r="W60" s="108"/>
      <c r="X60" s="132"/>
      <c r="AB60" t="s">
        <v>151</v>
      </c>
    </row>
    <row r="61" spans="1:28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V61" s="127"/>
      <c r="W61" s="108"/>
      <c r="X61" s="129"/>
    </row>
    <row r="62" spans="1:28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V62" s="131"/>
      <c r="W62" s="109"/>
      <c r="X62" s="133"/>
    </row>
    <row r="63" spans="1:28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V63" s="127"/>
      <c r="W63" s="108"/>
      <c r="X63" s="100"/>
    </row>
    <row r="64" spans="1:28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V64" s="127"/>
      <c r="W64" s="108"/>
      <c r="X64" s="129"/>
    </row>
    <row r="65" spans="1:27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34"/>
      <c r="W65" s="109"/>
      <c r="X65" s="135"/>
    </row>
    <row r="66" spans="1:27" ht="14.25" customHeight="1" x14ac:dyDescent="0.3">
      <c r="L66" s="136"/>
      <c r="M66" s="136"/>
      <c r="N66" s="136"/>
      <c r="O66" s="136"/>
      <c r="V66" s="127"/>
      <c r="W66" s="108"/>
      <c r="X66" s="129"/>
    </row>
    <row r="67" spans="1:27" ht="13" customHeight="1" x14ac:dyDescent="0.3">
      <c r="L67" s="136"/>
      <c r="M67" s="136"/>
      <c r="N67" s="136"/>
      <c r="O67" s="136"/>
      <c r="V67" s="127"/>
      <c r="W67" s="137"/>
      <c r="X67" s="132"/>
    </row>
    <row r="68" spans="1:27" ht="14.25" customHeight="1" x14ac:dyDescent="0.3">
      <c r="L68" s="136"/>
      <c r="M68" s="136"/>
      <c r="N68" s="136"/>
      <c r="O68" s="136"/>
      <c r="V68" s="131"/>
      <c r="W68" s="109"/>
      <c r="X68" s="132"/>
    </row>
    <row r="69" spans="1:27" ht="14.25" customHeight="1" x14ac:dyDescent="0.3">
      <c r="L69" s="136"/>
      <c r="M69" s="136"/>
      <c r="N69" s="136"/>
      <c r="O69" s="136"/>
      <c r="V69" s="127"/>
      <c r="W69" s="108"/>
      <c r="X69" s="132"/>
    </row>
    <row r="70" spans="1:27" ht="14.25" customHeight="1" x14ac:dyDescent="0.3">
      <c r="L70" s="136"/>
      <c r="M70" s="136"/>
      <c r="N70" s="136"/>
      <c r="O70" s="136"/>
      <c r="V70" s="127"/>
      <c r="W70" s="108"/>
      <c r="X70" s="138"/>
    </row>
    <row r="71" spans="1:27" ht="14.25" customHeight="1" x14ac:dyDescent="0.3">
      <c r="L71" s="136"/>
      <c r="M71" s="136"/>
      <c r="N71" s="136"/>
      <c r="O71" s="136"/>
      <c r="V71" s="131"/>
      <c r="W71" s="109"/>
      <c r="X71" s="139"/>
    </row>
    <row r="72" spans="1:27" ht="14.25" customHeight="1" x14ac:dyDescent="0.3">
      <c r="L72" s="136"/>
      <c r="M72" s="136"/>
      <c r="N72" s="136"/>
      <c r="O72" s="136"/>
      <c r="V72" s="127"/>
      <c r="W72" s="108"/>
      <c r="X72" s="138"/>
    </row>
    <row r="73" spans="1:27" ht="14.25" customHeight="1" x14ac:dyDescent="0.3">
      <c r="L73" s="136"/>
      <c r="M73" s="136"/>
      <c r="N73" s="136"/>
      <c r="O73" s="136"/>
      <c r="V73" s="140"/>
      <c r="W73" s="141"/>
      <c r="X73" s="138"/>
      <c r="AA73" s="79"/>
    </row>
    <row r="74" spans="1:27" ht="14.25" customHeight="1" x14ac:dyDescent="0.3">
      <c r="L74" s="136"/>
      <c r="M74" s="136"/>
      <c r="N74" s="136"/>
      <c r="O74" s="136"/>
      <c r="V74" s="93"/>
      <c r="W74" s="142"/>
      <c r="X74" s="138"/>
      <c r="AA74" s="79"/>
    </row>
    <row r="75" spans="1:27" ht="14.25" customHeight="1" x14ac:dyDescent="0.3">
      <c r="L75" s="136"/>
      <c r="M75" s="136"/>
      <c r="N75" s="136"/>
      <c r="O75" s="136"/>
      <c r="V75" s="103"/>
      <c r="W75" s="143"/>
      <c r="X75" s="138"/>
    </row>
    <row r="76" spans="1:27" ht="14.25" customHeight="1" x14ac:dyDescent="0.3">
      <c r="L76" s="136"/>
      <c r="M76" s="136"/>
      <c r="N76" s="136"/>
      <c r="O76" s="136"/>
      <c r="V76" s="103"/>
      <c r="W76" s="144"/>
      <c r="X76" s="138"/>
    </row>
    <row r="77" spans="1:27" ht="14.25" customHeight="1" x14ac:dyDescent="0.3">
      <c r="L77" s="136"/>
      <c r="M77" s="136"/>
      <c r="N77" s="136"/>
      <c r="O77" s="136"/>
      <c r="V77" s="98"/>
      <c r="W77" s="145"/>
      <c r="X77" s="138"/>
    </row>
    <row r="78" spans="1:27" ht="14.25" customHeight="1" x14ac:dyDescent="0.3">
      <c r="L78" s="136"/>
      <c r="M78" s="136"/>
      <c r="N78" s="136"/>
      <c r="O78" s="136"/>
      <c r="V78" s="98"/>
      <c r="W78" s="72"/>
      <c r="X78" s="138"/>
    </row>
    <row r="79" spans="1:27" ht="14.25" customHeight="1" x14ac:dyDescent="0.3">
      <c r="L79" s="136"/>
      <c r="M79" s="136"/>
      <c r="N79" s="136"/>
      <c r="O79" s="136"/>
      <c r="V79" s="98"/>
      <c r="X79" s="139"/>
    </row>
    <row r="80" spans="1:27" ht="14.25" customHeight="1" x14ac:dyDescent="0.3">
      <c r="L80" s="136"/>
      <c r="M80" s="136"/>
      <c r="N80" s="136"/>
      <c r="O80" s="136"/>
      <c r="V80" s="98"/>
      <c r="W80" s="72"/>
      <c r="X80" s="138"/>
    </row>
    <row r="81" spans="12:24" ht="14.25" customHeight="1" x14ac:dyDescent="0.3">
      <c r="L81" s="136"/>
      <c r="M81" s="136"/>
      <c r="N81" s="136"/>
      <c r="O81" s="136"/>
      <c r="V81" s="98"/>
      <c r="W81" s="72"/>
      <c r="X81" s="139"/>
    </row>
    <row r="82" spans="12:24" ht="14.25" customHeight="1" x14ac:dyDescent="0.3">
      <c r="L82" s="136"/>
      <c r="M82" s="136"/>
      <c r="N82" s="136"/>
      <c r="O82" s="136"/>
      <c r="V82" s="98"/>
      <c r="W82" s="72"/>
      <c r="X82" s="138"/>
    </row>
    <row r="83" spans="12:24" ht="14.25" customHeight="1" x14ac:dyDescent="0.3">
      <c r="L83" s="136"/>
      <c r="M83" s="136"/>
      <c r="N83" s="136"/>
      <c r="O83" s="136"/>
      <c r="V83" s="98"/>
      <c r="X83" s="138"/>
    </row>
    <row r="84" spans="12:24" ht="14.25" customHeight="1" x14ac:dyDescent="0.3">
      <c r="L84" s="136"/>
      <c r="M84" s="136"/>
      <c r="N84" s="136"/>
      <c r="O84" s="136"/>
      <c r="V84" s="98"/>
      <c r="W84" s="72"/>
      <c r="X84" s="132"/>
    </row>
    <row r="85" spans="12:24" ht="14.25" customHeight="1" x14ac:dyDescent="0.3">
      <c r="L85" s="136"/>
      <c r="M85" s="136"/>
      <c r="N85" s="136"/>
      <c r="O85" s="136"/>
      <c r="V85" s="98"/>
      <c r="W85" s="72"/>
      <c r="X85" s="132"/>
    </row>
    <row r="86" spans="12:24" ht="14.25" customHeight="1" x14ac:dyDescent="0.3">
      <c r="L86" s="136"/>
      <c r="M86" s="136"/>
      <c r="N86" s="136"/>
      <c r="O86" s="136"/>
      <c r="V86" s="98"/>
      <c r="W86" s="72"/>
      <c r="X86" s="146"/>
    </row>
    <row r="87" spans="12:24" ht="14.25" customHeight="1" x14ac:dyDescent="0.3">
      <c r="L87" s="136"/>
      <c r="M87" s="136"/>
      <c r="N87" s="136"/>
      <c r="O87" s="136"/>
      <c r="V87" s="98"/>
      <c r="X87" s="139"/>
    </row>
    <row r="88" spans="12:24" ht="14.25" customHeight="1" x14ac:dyDescent="0.3">
      <c r="L88" s="136"/>
      <c r="M88" s="136"/>
      <c r="N88" s="136"/>
      <c r="O88" s="136"/>
      <c r="V88" s="98"/>
      <c r="X88" s="139"/>
    </row>
    <row r="89" spans="12:24" ht="14.25" customHeight="1" x14ac:dyDescent="0.3">
      <c r="L89" s="136"/>
      <c r="M89" s="136"/>
      <c r="N89" s="136"/>
      <c r="O89" s="136"/>
      <c r="V89" s="98"/>
      <c r="W89" s="72"/>
      <c r="X89" s="147"/>
    </row>
    <row r="90" spans="12:24" ht="14.25" customHeight="1" x14ac:dyDescent="0.3">
      <c r="L90" s="136"/>
      <c r="M90" s="136"/>
      <c r="N90" s="136"/>
      <c r="O90" s="136"/>
      <c r="V90" s="98"/>
      <c r="W90" s="72"/>
      <c r="X90" s="147"/>
    </row>
    <row r="91" spans="12:24" ht="14.25" customHeight="1" x14ac:dyDescent="0.3">
      <c r="L91" s="136"/>
      <c r="M91" s="136"/>
      <c r="N91" s="136"/>
      <c r="O91" s="136"/>
      <c r="V91" s="98"/>
      <c r="X91" s="139"/>
    </row>
    <row r="92" spans="12:24" ht="14.25" customHeight="1" x14ac:dyDescent="0.3">
      <c r="L92" s="136"/>
      <c r="M92" s="136"/>
      <c r="N92" s="136"/>
      <c r="O92" s="136"/>
      <c r="V92" s="98"/>
      <c r="W92" s="72"/>
      <c r="X92" s="147"/>
    </row>
    <row r="93" spans="12:24" ht="14.25" customHeight="1" x14ac:dyDescent="0.3">
      <c r="L93" s="136"/>
      <c r="M93" s="136"/>
      <c r="N93" s="136"/>
      <c r="O93" s="136"/>
      <c r="V93" s="98"/>
      <c r="W93" s="72"/>
      <c r="X93" s="147"/>
    </row>
    <row r="94" spans="12:24" ht="14.25" customHeight="1" x14ac:dyDescent="0.3">
      <c r="L94" s="136"/>
      <c r="M94" s="136"/>
      <c r="N94" s="136"/>
      <c r="O94" s="136"/>
      <c r="V94" s="98"/>
      <c r="W94" s="72"/>
      <c r="X94" s="138"/>
    </row>
    <row r="95" spans="12:24" ht="14.25" customHeight="1" x14ac:dyDescent="0.3">
      <c r="L95" s="136"/>
      <c r="M95" s="136"/>
      <c r="N95" s="136"/>
      <c r="O95" s="136"/>
      <c r="V95" s="98"/>
      <c r="W95" s="72"/>
      <c r="X95" s="139"/>
    </row>
    <row r="96" spans="12:24" ht="14.25" customHeight="1" x14ac:dyDescent="0.3">
      <c r="L96" s="136"/>
      <c r="M96" s="136"/>
      <c r="N96" s="136"/>
      <c r="O96" s="136"/>
      <c r="V96" s="98"/>
      <c r="W96" s="72"/>
      <c r="X96" s="132"/>
    </row>
    <row r="97" spans="12:24" ht="14.25" customHeight="1" x14ac:dyDescent="0.3">
      <c r="L97" s="136"/>
      <c r="M97" s="136"/>
      <c r="N97" s="136"/>
      <c r="O97" s="136"/>
      <c r="V97" s="98"/>
      <c r="W97" s="72"/>
      <c r="X97" s="132"/>
    </row>
    <row r="98" spans="12:24" ht="14.25" customHeight="1" x14ac:dyDescent="0.3">
      <c r="L98" s="136"/>
      <c r="M98" s="136"/>
      <c r="N98" s="136"/>
      <c r="O98" s="136"/>
      <c r="X98" s="132"/>
    </row>
    <row r="99" spans="12:24" ht="14.25" customHeight="1" x14ac:dyDescent="0.3">
      <c r="L99" s="136"/>
      <c r="M99" s="136"/>
      <c r="N99" s="136"/>
      <c r="O99" s="136"/>
      <c r="V99" s="98"/>
      <c r="X99" s="135"/>
    </row>
    <row r="100" spans="12:24" ht="14.25" customHeight="1" x14ac:dyDescent="0.3">
      <c r="L100" s="136"/>
      <c r="M100" s="136"/>
      <c r="N100" s="136"/>
      <c r="O100" s="136"/>
      <c r="V100" s="98"/>
      <c r="W100" s="72"/>
      <c r="X100" s="139"/>
    </row>
    <row r="101" spans="12:24" ht="14.25" customHeight="1" x14ac:dyDescent="0.3">
      <c r="L101" s="136"/>
      <c r="M101" s="136"/>
      <c r="N101" s="136"/>
      <c r="O101" s="136"/>
      <c r="V101" s="98"/>
      <c r="W101" s="72"/>
      <c r="X101" s="138"/>
    </row>
    <row r="102" spans="12:24" ht="14.25" customHeight="1" x14ac:dyDescent="0.3">
      <c r="L102" s="136"/>
      <c r="M102" s="136"/>
      <c r="N102" s="136"/>
      <c r="O102" s="136"/>
      <c r="V102" s="98"/>
      <c r="W102" s="72"/>
      <c r="X102" s="138"/>
    </row>
    <row r="103" spans="12:24" ht="14.25" customHeight="1" x14ac:dyDescent="0.3">
      <c r="L103" s="136"/>
      <c r="M103" s="136"/>
      <c r="N103" s="136"/>
      <c r="O103" s="136"/>
      <c r="V103" s="98"/>
      <c r="W103" s="72"/>
      <c r="X103" s="138"/>
    </row>
    <row r="104" spans="12:24" ht="14.25" customHeight="1" x14ac:dyDescent="0.3">
      <c r="L104" s="136"/>
      <c r="M104" s="136"/>
      <c r="N104" s="136"/>
      <c r="O104" s="136"/>
      <c r="V104" s="98"/>
      <c r="W104" s="72"/>
      <c r="X104" s="138"/>
    </row>
    <row r="105" spans="12:24" ht="14.25" customHeight="1" x14ac:dyDescent="0.3">
      <c r="L105" s="136"/>
      <c r="M105" s="136"/>
      <c r="N105" s="136"/>
      <c r="O105" s="136"/>
      <c r="V105" s="98"/>
      <c r="W105" s="72"/>
      <c r="X105" s="138"/>
    </row>
    <row r="106" spans="12:24" ht="14.25" customHeight="1" x14ac:dyDescent="0.3">
      <c r="L106" s="136"/>
      <c r="M106" s="136"/>
      <c r="N106" s="136"/>
      <c r="O106" s="136"/>
      <c r="V106" s="98"/>
      <c r="X106" s="135"/>
    </row>
    <row r="107" spans="12:24" ht="14.25" customHeight="1" x14ac:dyDescent="0.3">
      <c r="L107" s="136"/>
      <c r="M107" s="136"/>
      <c r="N107" s="136"/>
      <c r="O107" s="136"/>
      <c r="V107" s="98"/>
      <c r="W107" s="72"/>
      <c r="X107" s="138"/>
    </row>
    <row r="108" spans="12:24" ht="14.25" customHeight="1" x14ac:dyDescent="0.3">
      <c r="L108" s="136"/>
      <c r="M108" s="136"/>
      <c r="N108" s="136"/>
      <c r="O108" s="136"/>
      <c r="V108" s="98"/>
      <c r="W108" s="72"/>
      <c r="X108" s="138"/>
    </row>
    <row r="109" spans="12:24" ht="14.25" customHeight="1" x14ac:dyDescent="0.3">
      <c r="L109" s="136"/>
      <c r="M109" s="136"/>
      <c r="N109" s="136"/>
      <c r="O109" s="136"/>
      <c r="V109" s="98"/>
      <c r="W109" s="72"/>
      <c r="X109" s="138"/>
    </row>
    <row r="110" spans="12:24" ht="14.25" customHeight="1" x14ac:dyDescent="0.3">
      <c r="L110" s="136"/>
      <c r="M110" s="136"/>
      <c r="N110" s="136"/>
      <c r="O110" s="136"/>
      <c r="V110" s="98"/>
      <c r="X110" s="139"/>
    </row>
    <row r="111" spans="12:24" ht="14.25" customHeight="1" x14ac:dyDescent="0.3">
      <c r="L111" s="136"/>
      <c r="M111" s="136"/>
      <c r="N111" s="136"/>
      <c r="O111" s="136"/>
      <c r="V111" s="98"/>
      <c r="X111" s="139"/>
    </row>
    <row r="112" spans="12:24" ht="14.25" customHeight="1" x14ac:dyDescent="0.3">
      <c r="L112" s="136"/>
      <c r="M112" s="136"/>
      <c r="N112" s="136"/>
      <c r="O112" s="136"/>
      <c r="V112" s="98"/>
      <c r="W112" s="72"/>
      <c r="X112" s="138"/>
    </row>
    <row r="113" spans="12:24" ht="14.25" customHeight="1" x14ac:dyDescent="0.3">
      <c r="L113" s="136"/>
      <c r="M113" s="136"/>
      <c r="N113" s="136"/>
      <c r="O113" s="136"/>
      <c r="V113" s="98"/>
      <c r="W113" s="72"/>
      <c r="X113" s="138"/>
    </row>
    <row r="114" spans="12:24" ht="14.25" customHeight="1" x14ac:dyDescent="0.3">
      <c r="L114" s="136"/>
      <c r="M114" s="136"/>
      <c r="N114" s="136"/>
      <c r="O114" s="136"/>
      <c r="V114" s="98"/>
      <c r="X114" s="139"/>
    </row>
    <row r="115" spans="12:24" ht="14.25" customHeight="1" x14ac:dyDescent="0.3">
      <c r="L115" s="136"/>
      <c r="M115" s="136"/>
      <c r="N115" s="136"/>
      <c r="O115" s="136"/>
      <c r="V115" s="98"/>
      <c r="W115" s="72"/>
      <c r="X115" s="100"/>
    </row>
    <row r="116" spans="12:24" ht="14.25" customHeight="1" x14ac:dyDescent="0.3">
      <c r="L116" s="136"/>
      <c r="M116" s="136"/>
      <c r="N116" s="136"/>
      <c r="O116" s="136"/>
      <c r="V116" s="98"/>
      <c r="W116" s="72"/>
      <c r="X116" s="132"/>
    </row>
    <row r="117" spans="12:24" ht="14.25" customHeight="1" x14ac:dyDescent="0.3">
      <c r="L117" s="136"/>
      <c r="M117" s="136"/>
      <c r="N117" s="136"/>
      <c r="O117" s="136"/>
      <c r="V117" s="98"/>
      <c r="W117" s="72"/>
      <c r="X117" s="132"/>
    </row>
    <row r="118" spans="12:24" ht="14.25" customHeight="1" x14ac:dyDescent="0.3">
      <c r="L118" s="136"/>
      <c r="M118" s="136"/>
      <c r="N118" s="136"/>
      <c r="O118" s="136"/>
      <c r="X118" s="138"/>
    </row>
    <row r="119" spans="12:24" ht="14.25" customHeight="1" x14ac:dyDescent="0.3">
      <c r="L119" s="136"/>
      <c r="M119" s="136"/>
      <c r="N119" s="136"/>
      <c r="O119" s="136"/>
    </row>
    <row r="120" spans="12:24" ht="14.25" customHeight="1" x14ac:dyDescent="0.3">
      <c r="L120" s="136"/>
      <c r="M120" s="136"/>
      <c r="N120" s="136"/>
      <c r="O120" s="136"/>
    </row>
    <row r="121" spans="12:24" ht="14.25" customHeight="1" x14ac:dyDescent="0.3">
      <c r="L121" s="136"/>
      <c r="M121" s="136"/>
      <c r="N121" s="136"/>
      <c r="O121" s="136"/>
    </row>
    <row r="122" spans="12:24" ht="14.25" customHeight="1" x14ac:dyDescent="0.3">
      <c r="L122" s="136"/>
      <c r="M122" s="136"/>
      <c r="N122" s="136"/>
      <c r="O122" s="136"/>
    </row>
    <row r="123" spans="12:24" ht="14.25" customHeight="1" x14ac:dyDescent="0.3">
      <c r="L123" s="136"/>
      <c r="M123" s="136"/>
      <c r="N123" s="136"/>
      <c r="O123" s="136"/>
    </row>
    <row r="124" spans="12:24" ht="14.25" customHeight="1" x14ac:dyDescent="0.3">
      <c r="L124" s="136"/>
      <c r="M124" s="136"/>
      <c r="N124" s="136"/>
      <c r="O124" s="136"/>
    </row>
    <row r="125" spans="12:24" ht="14.25" customHeight="1" x14ac:dyDescent="0.3">
      <c r="L125" s="136"/>
      <c r="M125" s="136"/>
      <c r="N125" s="136"/>
      <c r="O125" s="136"/>
    </row>
    <row r="126" spans="12:24" ht="14.25" customHeight="1" x14ac:dyDescent="0.3">
      <c r="L126" s="136"/>
      <c r="M126" s="136"/>
      <c r="N126" s="136"/>
      <c r="O126" s="136"/>
    </row>
    <row r="127" spans="12:24" ht="14.25" customHeight="1" x14ac:dyDescent="0.3">
      <c r="L127" s="136"/>
      <c r="M127" s="136"/>
      <c r="N127" s="136"/>
      <c r="O127" s="136"/>
    </row>
    <row r="128" spans="12:24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E67C-D429-45FC-9A51-175DAC710B03}">
  <sheetPr codeName="Sheet5"/>
  <dimension ref="A1:AC1000"/>
  <sheetViews>
    <sheetView topLeftCell="A13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25" customWidth="1"/>
    <col min="18" max="18" width="9.6640625" customWidth="1"/>
    <col min="19" max="19" width="8.08203125" customWidth="1"/>
    <col min="20" max="20" width="6.9140625" customWidth="1"/>
    <col min="21" max="21" width="7" customWidth="1"/>
    <col min="22" max="22" width="7.33203125" customWidth="1"/>
    <col min="23" max="23" width="8.33203125" customWidth="1"/>
    <col min="24" max="24" width="6.33203125" customWidth="1"/>
    <col min="25" max="25" width="7.9140625" customWidth="1"/>
    <col min="26" max="26" width="6.75" customWidth="1"/>
    <col min="27" max="27" width="7.75" customWidth="1"/>
    <col min="28" max="1034" width="12.83203125" customWidth="1"/>
    <col min="1035" max="103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153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155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9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160</v>
      </c>
      <c r="O17" s="10"/>
      <c r="AA17" s="10"/>
    </row>
    <row r="18" spans="1:29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9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9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163</v>
      </c>
      <c r="S22" s="72" t="s">
        <v>38</v>
      </c>
      <c r="T22" s="72" t="s">
        <v>101</v>
      </c>
      <c r="U22" s="72" t="s">
        <v>164</v>
      </c>
      <c r="V22" s="72" t="s">
        <v>117</v>
      </c>
      <c r="W22" s="72" t="s">
        <v>40</v>
      </c>
      <c r="X22" s="72" t="s">
        <v>165</v>
      </c>
      <c r="Z22" t="s">
        <v>45</v>
      </c>
      <c r="AA22" t="s">
        <v>166</v>
      </c>
    </row>
    <row r="23" spans="1:29" ht="14.25" customHeight="1" x14ac:dyDescent="0.35">
      <c r="A23" s="76">
        <v>1</v>
      </c>
      <c r="B23" s="54"/>
      <c r="C23" s="30" t="s">
        <v>79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79">
        <v>8.1</v>
      </c>
      <c r="R23" s="79">
        <v>8.5</v>
      </c>
      <c r="S23" s="79">
        <v>8.5</v>
      </c>
      <c r="T23" s="79">
        <v>8.1</v>
      </c>
      <c r="U23" s="79">
        <v>7.5</v>
      </c>
      <c r="V23" s="79">
        <v>7.5</v>
      </c>
      <c r="W23" s="79">
        <v>7.6</v>
      </c>
      <c r="Y23" s="79">
        <v>7.9</v>
      </c>
      <c r="Z23" s="79">
        <v>8</v>
      </c>
      <c r="AA23" s="79">
        <v>7.9</v>
      </c>
      <c r="AB23" s="79">
        <v>8.3000000000000007</v>
      </c>
      <c r="AC23" s="79">
        <v>8.5</v>
      </c>
    </row>
    <row r="24" spans="1:29" ht="14.25" customHeight="1" x14ac:dyDescent="0.35">
      <c r="A24" s="76">
        <v>2</v>
      </c>
      <c r="B24" s="54"/>
      <c r="C24" s="30" t="s">
        <v>80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502.5</v>
      </c>
      <c r="M24" s="78"/>
      <c r="N24" s="56"/>
      <c r="O24" s="78">
        <f t="shared" ref="O24:O28" si="0">SUM(I24*L24)</f>
        <v>502.5</v>
      </c>
      <c r="R24" s="79">
        <v>7.5</v>
      </c>
      <c r="S24" s="79"/>
      <c r="W24" s="79">
        <v>7.3</v>
      </c>
      <c r="AA24" s="79"/>
    </row>
    <row r="25" spans="1:29" ht="14.25" customHeight="1" x14ac:dyDescent="0.35">
      <c r="A25" s="76">
        <v>3</v>
      </c>
      <c r="B25" s="54"/>
      <c r="C25" s="10" t="s">
        <v>129</v>
      </c>
      <c r="D25" s="6"/>
      <c r="E25" s="6"/>
      <c r="F25" s="6"/>
      <c r="G25" s="6"/>
      <c r="H25" s="6"/>
      <c r="I25" s="20">
        <v>1</v>
      </c>
      <c r="J25" s="55" t="s">
        <v>49</v>
      </c>
      <c r="K25" s="10"/>
      <c r="L25" s="56">
        <v>261</v>
      </c>
      <c r="M25" s="78"/>
      <c r="N25" s="56"/>
      <c r="O25" s="78">
        <f t="shared" si="0"/>
        <v>261</v>
      </c>
      <c r="Q25" s="79">
        <v>5.8</v>
      </c>
      <c r="S25" s="79"/>
      <c r="U25" s="79"/>
      <c r="W25" s="79"/>
      <c r="X25" s="79"/>
      <c r="AA25" s="79"/>
    </row>
    <row r="26" spans="1:29" ht="14.25" customHeight="1" x14ac:dyDescent="0.35">
      <c r="A26" s="76">
        <v>4</v>
      </c>
      <c r="B26" s="54"/>
      <c r="C26" s="6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297</v>
      </c>
      <c r="M26" s="78"/>
      <c r="N26" s="56"/>
      <c r="O26" s="78">
        <f t="shared" si="0"/>
        <v>297</v>
      </c>
      <c r="Q26" s="79">
        <v>13.5</v>
      </c>
      <c r="S26" s="79">
        <v>14</v>
      </c>
      <c r="U26" s="79"/>
      <c r="W26" s="79"/>
      <c r="X26" s="79">
        <v>13</v>
      </c>
      <c r="AA26" s="79"/>
    </row>
    <row r="27" spans="1:29" ht="14.25" customHeight="1" x14ac:dyDescent="0.35">
      <c r="A27" s="76">
        <v>5</v>
      </c>
      <c r="B27" s="54"/>
      <c r="C27" s="6" t="s">
        <v>167</v>
      </c>
      <c r="D27" s="6"/>
      <c r="E27" s="6"/>
      <c r="F27" s="6"/>
      <c r="G27" s="6"/>
      <c r="H27" s="6"/>
      <c r="I27" s="54">
        <v>1</v>
      </c>
      <c r="J27" s="55" t="s">
        <v>84</v>
      </c>
      <c r="K27" s="10"/>
      <c r="L27" s="56">
        <v>160</v>
      </c>
      <c r="M27" s="78"/>
      <c r="N27" s="56"/>
      <c r="O27" s="78">
        <f t="shared" si="0"/>
        <v>160</v>
      </c>
      <c r="S27" s="79"/>
      <c r="U27">
        <v>32</v>
      </c>
      <c r="AA27" s="79"/>
    </row>
    <row r="28" spans="1:29" ht="14.25" customHeight="1" x14ac:dyDescent="0.35">
      <c r="A28" s="76">
        <v>6</v>
      </c>
      <c r="B28" s="54"/>
      <c r="C28" s="10" t="s">
        <v>82</v>
      </c>
      <c r="D28" s="10"/>
      <c r="E28" s="10"/>
      <c r="F28" s="10"/>
      <c r="G28" s="10"/>
      <c r="H28" s="10"/>
      <c r="I28" s="54">
        <v>10</v>
      </c>
      <c r="J28" s="55" t="s">
        <v>51</v>
      </c>
      <c r="K28" s="10"/>
      <c r="L28" s="56">
        <v>62.5</v>
      </c>
      <c r="M28" s="78"/>
      <c r="N28" s="56"/>
      <c r="O28" s="78">
        <f t="shared" si="0"/>
        <v>625</v>
      </c>
      <c r="S28" s="79"/>
      <c r="U28" s="79"/>
      <c r="AA28" s="79">
        <v>31</v>
      </c>
    </row>
    <row r="29" spans="1:29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AA29" s="79"/>
    </row>
    <row r="30" spans="1:2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X30" s="79"/>
      <c r="Y30" s="79"/>
    </row>
    <row r="31" spans="1:2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29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3668</v>
      </c>
    </row>
    <row r="55" spans="1:15" ht="14.25" customHeight="1" x14ac:dyDescent="0.35">
      <c r="A55" s="10" t="s">
        <v>168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183E-4761-4F6D-B3F8-D2A263B92E2D}">
  <sheetPr codeName="Sheet6"/>
  <dimension ref="A1:AH1003"/>
  <sheetViews>
    <sheetView topLeftCell="A4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7.4140625" customWidth="1"/>
    <col min="19" max="19" width="14.58203125" bestFit="1" customWidth="1"/>
    <col min="20" max="20" width="8.4140625" bestFit="1" customWidth="1"/>
    <col min="21" max="21" width="12.6640625" customWidth="1"/>
    <col min="22" max="22" width="10.6640625" style="66" customWidth="1"/>
    <col min="23" max="23" width="10.9140625" style="66" customWidth="1"/>
    <col min="24" max="24" width="11" customWidth="1"/>
    <col min="25" max="25" width="9.75" bestFit="1" customWidth="1"/>
    <col min="26" max="26" width="10.08203125" customWidth="1"/>
    <col min="27" max="27" width="11.33203125" customWidth="1"/>
    <col min="28" max="28" width="6.58203125" customWidth="1"/>
    <col min="29" max="1028" width="12.83203125" customWidth="1"/>
    <col min="1029" max="102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169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170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171</v>
      </c>
      <c r="O17" s="10"/>
    </row>
    <row r="18" spans="1:34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37</v>
      </c>
      <c r="S22" s="72" t="s">
        <v>38</v>
      </c>
      <c r="T22" s="72" t="s">
        <v>101</v>
      </c>
      <c r="U22" s="72" t="s">
        <v>115</v>
      </c>
      <c r="V22" s="72" t="s">
        <v>39</v>
      </c>
      <c r="W22" s="66">
        <v>1225</v>
      </c>
      <c r="X22" s="72" t="s">
        <v>116</v>
      </c>
      <c r="Y22" s="72" t="s">
        <v>117</v>
      </c>
      <c r="Z22" s="72" t="s">
        <v>118</v>
      </c>
      <c r="AA22" s="73" t="s">
        <v>119</v>
      </c>
      <c r="AB22" s="74" t="s">
        <v>120</v>
      </c>
      <c r="AC22" s="74" t="s">
        <v>121</v>
      </c>
      <c r="AD22" s="75" t="s">
        <v>122</v>
      </c>
      <c r="AE22" s="74" t="s">
        <v>123</v>
      </c>
      <c r="AF22" s="74" t="s">
        <v>124</v>
      </c>
      <c r="AG22" s="74" t="s">
        <v>125</v>
      </c>
      <c r="AH22" s="74" t="s">
        <v>125</v>
      </c>
    </row>
    <row r="23" spans="1:34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6</v>
      </c>
      <c r="J23" s="55" t="s">
        <v>47</v>
      </c>
      <c r="K23" s="10"/>
      <c r="L23" s="77">
        <v>1710</v>
      </c>
      <c r="M23" s="78"/>
      <c r="N23" s="56"/>
      <c r="O23" s="78">
        <f>SUM(I23*L23)</f>
        <v>10260</v>
      </c>
      <c r="Q23" s="79"/>
      <c r="R23" s="79">
        <v>8.1</v>
      </c>
      <c r="S23" s="79">
        <v>7.9</v>
      </c>
      <c r="T23" s="79">
        <v>7.5</v>
      </c>
      <c r="U23" s="79" t="s">
        <v>127</v>
      </c>
      <c r="V23" s="79">
        <v>6.6</v>
      </c>
      <c r="W23" s="79">
        <v>6.8</v>
      </c>
      <c r="X23" s="79">
        <v>6.9</v>
      </c>
      <c r="Y23" s="79">
        <v>7</v>
      </c>
      <c r="AA23" s="79"/>
      <c r="AB23" s="66"/>
      <c r="AC23" s="80">
        <v>7.2</v>
      </c>
      <c r="AE23" s="79">
        <v>7.3</v>
      </c>
      <c r="AF23" s="79">
        <v>7.4</v>
      </c>
      <c r="AG23" s="79">
        <v>7.4</v>
      </c>
      <c r="AH23" s="79">
        <v>7.4</v>
      </c>
    </row>
    <row r="24" spans="1:34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18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3132</v>
      </c>
      <c r="Q24" s="79"/>
      <c r="R24" s="79"/>
      <c r="S24" s="79"/>
      <c r="T24" s="79">
        <v>5.8</v>
      </c>
      <c r="U24" s="66" t="s">
        <v>128</v>
      </c>
      <c r="V24"/>
      <c r="W24"/>
      <c r="X24" s="79"/>
      <c r="Y24" s="79">
        <v>5.9</v>
      </c>
      <c r="Z24" s="79">
        <v>5.9</v>
      </c>
      <c r="AA24" s="79"/>
      <c r="AB24" s="66"/>
      <c r="AC24" s="80"/>
      <c r="AD24" s="79">
        <v>5.8</v>
      </c>
      <c r="AF24" s="79">
        <v>5.9</v>
      </c>
      <c r="AG24" s="79">
        <v>6.1</v>
      </c>
    </row>
    <row r="25" spans="1:34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9</v>
      </c>
      <c r="J25" s="55" t="s">
        <v>49</v>
      </c>
      <c r="K25" s="10"/>
      <c r="L25" s="77">
        <v>207</v>
      </c>
      <c r="M25" s="78"/>
      <c r="N25" s="56"/>
      <c r="O25" s="78">
        <f t="shared" si="0"/>
        <v>1863</v>
      </c>
      <c r="Q25" s="79"/>
      <c r="R25" s="79"/>
      <c r="S25" s="79"/>
      <c r="T25" s="79">
        <v>4.5999999999999996</v>
      </c>
      <c r="V25"/>
      <c r="W25"/>
      <c r="Y25" s="79">
        <v>5.0999999999999996</v>
      </c>
      <c r="Z25" s="79"/>
      <c r="AA25" s="79">
        <v>5.5</v>
      </c>
      <c r="AB25" s="66"/>
      <c r="AC25" s="66"/>
      <c r="AD25" s="79">
        <v>5.3</v>
      </c>
      <c r="AF25" s="79">
        <v>5.3</v>
      </c>
      <c r="AG25" s="81">
        <v>6</v>
      </c>
      <c r="AH25" s="79">
        <v>6.1</v>
      </c>
    </row>
    <row r="26" spans="1:34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V26"/>
      <c r="W26"/>
      <c r="Y26" s="79"/>
      <c r="AA26" s="79"/>
      <c r="AB26" s="66"/>
      <c r="AC26" s="66"/>
      <c r="AH26" s="81">
        <v>5.5</v>
      </c>
    </row>
    <row r="27" spans="1:34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</row>
    <row r="28" spans="1:34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Z28" s="79"/>
      <c r="AA28" s="79"/>
      <c r="AB28" s="79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S30" s="83" t="s">
        <v>13</v>
      </c>
      <c r="T30" s="83" t="s">
        <v>5</v>
      </c>
      <c r="U30" s="83" t="s">
        <v>132</v>
      </c>
      <c r="X30" s="84"/>
      <c r="Y30" s="84"/>
      <c r="Z30" s="84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S31" s="85" t="s">
        <v>133</v>
      </c>
      <c r="T31" s="85"/>
      <c r="U31" s="86">
        <v>162714</v>
      </c>
      <c r="X31" s="87"/>
      <c r="Y31" s="84"/>
      <c r="Z31" s="8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S32" s="89">
        <v>46175</v>
      </c>
      <c r="T32" s="90" t="s">
        <v>134</v>
      </c>
      <c r="U32" s="79">
        <v>15351.5</v>
      </c>
      <c r="X32" s="91"/>
      <c r="Y32" s="84"/>
      <c r="Z32" s="92"/>
    </row>
    <row r="33" spans="1:29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S33" s="93">
        <v>46179</v>
      </c>
      <c r="T33" s="94" t="s">
        <v>135</v>
      </c>
      <c r="U33" s="95">
        <v>-30000</v>
      </c>
      <c r="X33" s="91"/>
      <c r="Y33" s="96"/>
      <c r="Z33" s="97"/>
    </row>
    <row r="34" spans="1:29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S34" s="98">
        <v>46179</v>
      </c>
      <c r="T34" s="90" t="s">
        <v>136</v>
      </c>
      <c r="U34" s="79">
        <v>18390</v>
      </c>
      <c r="X34" s="91"/>
      <c r="Y34" s="96"/>
      <c r="Z34" s="88"/>
      <c r="AC34" s="66"/>
    </row>
    <row r="35" spans="1:29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S35" s="98">
        <v>46182</v>
      </c>
      <c r="T35" s="90" t="s">
        <v>137</v>
      </c>
      <c r="U35" s="79">
        <v>19817.5</v>
      </c>
      <c r="X35" s="91"/>
      <c r="Y35" s="96"/>
      <c r="Z35" s="97"/>
    </row>
    <row r="36" spans="1:29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S36" s="93">
        <v>46182</v>
      </c>
      <c r="T36" s="94" t="s">
        <v>135</v>
      </c>
      <c r="U36" s="95">
        <v>-18500</v>
      </c>
      <c r="X36" s="91"/>
      <c r="Y36" s="96"/>
      <c r="Z36" s="99"/>
    </row>
    <row r="37" spans="1:29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S37" s="98">
        <v>46185</v>
      </c>
      <c r="T37" s="90" t="s">
        <v>138</v>
      </c>
      <c r="U37" s="79">
        <v>19817.5</v>
      </c>
      <c r="X37" s="91"/>
      <c r="Y37" s="96"/>
      <c r="Z37" s="100"/>
    </row>
    <row r="38" spans="1:2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S38" s="93">
        <v>46185</v>
      </c>
      <c r="T38" s="94" t="s">
        <v>135</v>
      </c>
      <c r="U38" s="95">
        <v>-21000</v>
      </c>
      <c r="V38" s="101"/>
      <c r="W38" s="95"/>
      <c r="X38" s="91"/>
      <c r="Y38" s="96"/>
      <c r="Z38" s="102"/>
    </row>
    <row r="39" spans="1:2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S39" s="98">
        <v>46188</v>
      </c>
      <c r="T39" s="90" t="s">
        <v>139</v>
      </c>
      <c r="U39" s="79">
        <v>18259</v>
      </c>
      <c r="V39" s="103"/>
      <c r="W39" s="104"/>
      <c r="X39" s="91"/>
      <c r="Y39" s="96"/>
      <c r="Z39" s="100"/>
    </row>
    <row r="40" spans="1:2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S40" s="93">
        <v>46189</v>
      </c>
      <c r="T40" s="94" t="s">
        <v>135</v>
      </c>
      <c r="U40" s="95">
        <v>-50000</v>
      </c>
      <c r="V40" s="103"/>
      <c r="W40" s="104"/>
      <c r="X40" s="91"/>
      <c r="Y40" s="96"/>
      <c r="Z40" s="105"/>
    </row>
    <row r="41" spans="1:2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S41" s="98">
        <v>46190</v>
      </c>
      <c r="T41" s="90" t="s">
        <v>140</v>
      </c>
      <c r="U41" s="104">
        <v>3070</v>
      </c>
      <c r="V41" s="101"/>
      <c r="W41" s="95"/>
      <c r="X41" s="91"/>
      <c r="Y41" s="96"/>
      <c r="Z41" s="105"/>
    </row>
    <row r="42" spans="1:2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S42" s="98">
        <v>46191</v>
      </c>
      <c r="T42" s="90" t="s">
        <v>141</v>
      </c>
      <c r="U42" s="79">
        <v>29278</v>
      </c>
      <c r="V42" s="103"/>
      <c r="W42" s="106"/>
      <c r="X42" s="91"/>
      <c r="Y42" s="96"/>
      <c r="Z42" s="105"/>
    </row>
    <row r="43" spans="1:2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S43" s="93">
        <v>46195</v>
      </c>
      <c r="T43" s="94" t="s">
        <v>135</v>
      </c>
      <c r="U43" s="95">
        <v>-30000</v>
      </c>
      <c r="V43" s="103"/>
      <c r="W43" s="104"/>
      <c r="X43" s="91"/>
      <c r="Y43" s="96"/>
      <c r="Z43" s="105"/>
    </row>
    <row r="44" spans="1:2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S44" s="98">
        <v>46195</v>
      </c>
      <c r="T44" s="90" t="s">
        <v>142</v>
      </c>
      <c r="U44" s="79">
        <v>23724.400000000001</v>
      </c>
      <c r="V44" s="101"/>
      <c r="W44" s="95"/>
      <c r="X44" s="91"/>
      <c r="Y44" s="96"/>
      <c r="Z44" s="97"/>
    </row>
    <row r="45" spans="1:2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S45" s="98">
        <v>46196</v>
      </c>
      <c r="T45" s="90" t="s">
        <v>143</v>
      </c>
      <c r="U45" s="79">
        <v>1410</v>
      </c>
      <c r="V45" s="107"/>
      <c r="W45" s="108"/>
      <c r="X45" s="91"/>
      <c r="Y45" s="96"/>
      <c r="Z45" s="102"/>
    </row>
    <row r="46" spans="1:2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S46" s="98">
        <v>46198</v>
      </c>
      <c r="T46" s="90" t="s">
        <v>144</v>
      </c>
      <c r="U46" s="79">
        <v>23624.400000000001</v>
      </c>
      <c r="V46" s="107"/>
      <c r="W46" s="109"/>
      <c r="X46" s="91"/>
      <c r="Y46" s="96"/>
      <c r="Z46" s="105"/>
    </row>
    <row r="47" spans="1:2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S47" s="93">
        <v>46199</v>
      </c>
      <c r="T47" s="94" t="s">
        <v>135</v>
      </c>
      <c r="U47" s="95">
        <v>-26000</v>
      </c>
      <c r="V47" s="107"/>
      <c r="W47" s="108"/>
      <c r="X47" s="91"/>
      <c r="Y47" s="96"/>
      <c r="Z47" s="105"/>
    </row>
    <row r="48" spans="1:2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S48" s="98">
        <v>46200</v>
      </c>
      <c r="T48" s="90" t="s">
        <v>145</v>
      </c>
      <c r="U48" s="79">
        <v>14888.5</v>
      </c>
      <c r="V48" s="107"/>
      <c r="W48" s="108"/>
      <c r="X48" s="91"/>
      <c r="Y48" s="96"/>
      <c r="Z48" s="105"/>
    </row>
    <row r="49" spans="1:28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S49" s="93">
        <v>46203</v>
      </c>
      <c r="T49" s="94" t="s">
        <v>135</v>
      </c>
      <c r="U49" s="95">
        <v>-25000</v>
      </c>
      <c r="V49" s="110"/>
      <c r="W49" s="109"/>
      <c r="X49" s="91"/>
      <c r="Y49" s="96"/>
      <c r="Z49" s="105"/>
    </row>
    <row r="50" spans="1:28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S50" s="98">
        <v>46203</v>
      </c>
      <c r="T50" s="90" t="s">
        <v>146</v>
      </c>
      <c r="U50" s="79">
        <v>14937.5</v>
      </c>
      <c r="V50" s="107"/>
      <c r="W50" s="108"/>
      <c r="X50" s="91"/>
      <c r="Y50" s="96"/>
      <c r="Z50" s="102"/>
    </row>
    <row r="51" spans="1:28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S51" s="85" t="s">
        <v>147</v>
      </c>
      <c r="U51" s="111">
        <f>SUM(U31:U50)</f>
        <v>164782.29999999999</v>
      </c>
      <c r="V51" s="107"/>
      <c r="W51" s="108"/>
      <c r="X51" s="91"/>
      <c r="Y51" s="96"/>
      <c r="Z51" s="105"/>
    </row>
    <row r="52" spans="1:28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S52" s="98">
        <v>46210</v>
      </c>
      <c r="T52" s="90" t="s">
        <v>148</v>
      </c>
      <c r="U52" s="79">
        <v>30513</v>
      </c>
      <c r="V52" s="107"/>
      <c r="W52" s="108"/>
      <c r="X52" s="91"/>
      <c r="Y52" s="96"/>
      <c r="Z52" s="105"/>
    </row>
    <row r="53" spans="1:28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S53" s="93">
        <v>46212</v>
      </c>
      <c r="T53" s="94" t="s">
        <v>135</v>
      </c>
      <c r="U53" s="95">
        <v>-25000</v>
      </c>
      <c r="V53" s="107"/>
      <c r="W53" s="108"/>
      <c r="X53" s="119"/>
      <c r="Y53" s="91"/>
      <c r="Z53" s="105"/>
    </row>
    <row r="54" spans="1:28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16715</v>
      </c>
      <c r="S54" s="98">
        <v>46213</v>
      </c>
      <c r="T54" s="90" t="s">
        <v>173</v>
      </c>
      <c r="U54" s="132">
        <v>16715</v>
      </c>
      <c r="V54" s="110"/>
      <c r="W54" s="109"/>
      <c r="X54" s="119"/>
      <c r="Y54" s="91"/>
      <c r="Z54" s="126"/>
    </row>
    <row r="55" spans="1:28" ht="14.25" customHeight="1" thickBot="1" x14ac:dyDescent="0.4">
      <c r="A55" s="10" t="s">
        <v>174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118">
        <f>SUM(U51:U54)</f>
        <v>187010.3</v>
      </c>
      <c r="V55" s="110"/>
      <c r="W55" s="109"/>
      <c r="X55" s="119"/>
      <c r="Y55" s="91"/>
      <c r="Z55" s="84"/>
    </row>
    <row r="56" spans="1:28" ht="14.25" customHeight="1" thickTop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27"/>
      <c r="W56" s="108"/>
      <c r="X56" s="128"/>
    </row>
    <row r="57" spans="1:28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V57" s="127"/>
      <c r="W57" s="108"/>
      <c r="X57" s="129"/>
    </row>
    <row r="58" spans="1:28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V58" s="110"/>
      <c r="W58" s="109"/>
      <c r="X58" s="130"/>
    </row>
    <row r="59" spans="1:28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V59" s="131"/>
      <c r="W59" s="109"/>
      <c r="X59" s="99"/>
    </row>
    <row r="60" spans="1:28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V60" s="127"/>
      <c r="W60" s="108"/>
      <c r="X60" s="132"/>
      <c r="AB60" t="s">
        <v>151</v>
      </c>
    </row>
    <row r="61" spans="1:28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V61" s="127"/>
      <c r="W61" s="108"/>
      <c r="X61" s="129"/>
    </row>
    <row r="62" spans="1:28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V62" s="131"/>
      <c r="W62" s="109"/>
      <c r="X62" s="133"/>
    </row>
    <row r="63" spans="1:28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V63" s="127"/>
      <c r="W63" s="108"/>
      <c r="X63" s="100"/>
    </row>
    <row r="64" spans="1:28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V64" s="127"/>
      <c r="W64" s="108"/>
      <c r="X64" s="129"/>
    </row>
    <row r="65" spans="1:27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34"/>
      <c r="W65" s="109"/>
      <c r="X65" s="135"/>
    </row>
    <row r="66" spans="1:27" ht="14.25" customHeight="1" x14ac:dyDescent="0.3">
      <c r="L66" s="136"/>
      <c r="M66" s="136"/>
      <c r="N66" s="136"/>
      <c r="O66" s="136"/>
      <c r="V66" s="127"/>
      <c r="W66" s="108"/>
      <c r="X66" s="129"/>
    </row>
    <row r="67" spans="1:27" ht="13" customHeight="1" x14ac:dyDescent="0.3">
      <c r="L67" s="136"/>
      <c r="M67" s="136"/>
      <c r="N67" s="136"/>
      <c r="O67" s="136"/>
      <c r="V67" s="127"/>
      <c r="W67" s="137"/>
      <c r="X67" s="132"/>
    </row>
    <row r="68" spans="1:27" ht="14.25" customHeight="1" x14ac:dyDescent="0.3">
      <c r="L68" s="136"/>
      <c r="M68" s="136"/>
      <c r="N68" s="136"/>
      <c r="O68" s="136"/>
      <c r="V68" s="131"/>
      <c r="W68" s="109"/>
      <c r="X68" s="132"/>
    </row>
    <row r="69" spans="1:27" ht="14.25" customHeight="1" x14ac:dyDescent="0.3">
      <c r="L69" s="136"/>
      <c r="M69" s="136"/>
      <c r="N69" s="136"/>
      <c r="O69" s="136"/>
      <c r="V69" s="127"/>
      <c r="W69" s="108"/>
      <c r="X69" s="132"/>
    </row>
    <row r="70" spans="1:27" ht="14.25" customHeight="1" x14ac:dyDescent="0.3">
      <c r="L70" s="136"/>
      <c r="M70" s="136"/>
      <c r="N70" s="136"/>
      <c r="O70" s="136"/>
      <c r="V70" s="127"/>
      <c r="W70" s="108"/>
      <c r="X70" s="138"/>
    </row>
    <row r="71" spans="1:27" ht="14.25" customHeight="1" x14ac:dyDescent="0.3">
      <c r="L71" s="136"/>
      <c r="M71" s="136"/>
      <c r="N71" s="136"/>
      <c r="O71" s="136"/>
      <c r="V71" s="131"/>
      <c r="W71" s="109"/>
      <c r="X71" s="139"/>
    </row>
    <row r="72" spans="1:27" ht="14.25" customHeight="1" x14ac:dyDescent="0.3">
      <c r="L72" s="136"/>
      <c r="M72" s="136"/>
      <c r="N72" s="136"/>
      <c r="O72" s="136"/>
      <c r="V72" s="127"/>
      <c r="W72" s="108"/>
      <c r="X72" s="138"/>
    </row>
    <row r="73" spans="1:27" ht="14.25" customHeight="1" x14ac:dyDescent="0.3">
      <c r="L73" s="136"/>
      <c r="M73" s="136"/>
      <c r="N73" s="136"/>
      <c r="O73" s="136"/>
      <c r="V73" s="140"/>
      <c r="W73" s="141"/>
      <c r="X73" s="138"/>
      <c r="AA73" s="79"/>
    </row>
    <row r="74" spans="1:27" ht="14.25" customHeight="1" x14ac:dyDescent="0.3">
      <c r="L74" s="136"/>
      <c r="M74" s="136"/>
      <c r="N74" s="136"/>
      <c r="O74" s="136"/>
      <c r="V74" s="93"/>
      <c r="W74" s="142"/>
      <c r="X74" s="138"/>
      <c r="AA74" s="79"/>
    </row>
    <row r="75" spans="1:27" ht="14.25" customHeight="1" x14ac:dyDescent="0.3">
      <c r="L75" s="136"/>
      <c r="M75" s="136"/>
      <c r="N75" s="136"/>
      <c r="O75" s="136"/>
      <c r="V75" s="103"/>
      <c r="W75" s="143"/>
      <c r="X75" s="138"/>
    </row>
    <row r="76" spans="1:27" ht="14.25" customHeight="1" x14ac:dyDescent="0.3">
      <c r="L76" s="136"/>
      <c r="M76" s="136"/>
      <c r="N76" s="136"/>
      <c r="O76" s="136"/>
      <c r="V76" s="103"/>
      <c r="W76" s="144"/>
      <c r="X76" s="138"/>
    </row>
    <row r="77" spans="1:27" ht="14.25" customHeight="1" x14ac:dyDescent="0.3">
      <c r="L77" s="136"/>
      <c r="M77" s="136"/>
      <c r="N77" s="136"/>
      <c r="O77" s="136"/>
      <c r="V77" s="98"/>
      <c r="W77" s="145"/>
      <c r="X77" s="138"/>
    </row>
    <row r="78" spans="1:27" ht="14.25" customHeight="1" x14ac:dyDescent="0.3">
      <c r="L78" s="136"/>
      <c r="M78" s="136"/>
      <c r="N78" s="136"/>
      <c r="O78" s="136"/>
      <c r="V78" s="98"/>
      <c r="W78" s="72"/>
      <c r="X78" s="138"/>
    </row>
    <row r="79" spans="1:27" ht="14.25" customHeight="1" x14ac:dyDescent="0.3">
      <c r="L79" s="136"/>
      <c r="M79" s="136"/>
      <c r="N79" s="136"/>
      <c r="O79" s="136"/>
      <c r="V79" s="98"/>
      <c r="X79" s="139"/>
    </row>
    <row r="80" spans="1:27" ht="14.25" customHeight="1" x14ac:dyDescent="0.3">
      <c r="L80" s="136"/>
      <c r="M80" s="136"/>
      <c r="N80" s="136"/>
      <c r="O80" s="136"/>
      <c r="V80" s="98"/>
      <c r="W80" s="72"/>
      <c r="X80" s="138"/>
    </row>
    <row r="81" spans="12:24" ht="14.25" customHeight="1" x14ac:dyDescent="0.3">
      <c r="L81" s="136"/>
      <c r="M81" s="136"/>
      <c r="N81" s="136"/>
      <c r="O81" s="136"/>
      <c r="V81" s="98"/>
      <c r="W81" s="72"/>
      <c r="X81" s="139"/>
    </row>
    <row r="82" spans="12:24" ht="14.25" customHeight="1" x14ac:dyDescent="0.3">
      <c r="L82" s="136"/>
      <c r="M82" s="136"/>
      <c r="N82" s="136"/>
      <c r="O82" s="136"/>
      <c r="V82" s="98"/>
      <c r="W82" s="72"/>
      <c r="X82" s="138"/>
    </row>
    <row r="83" spans="12:24" ht="14.25" customHeight="1" x14ac:dyDescent="0.3">
      <c r="L83" s="136"/>
      <c r="M83" s="136"/>
      <c r="N83" s="136"/>
      <c r="O83" s="136"/>
      <c r="V83" s="98"/>
      <c r="X83" s="138"/>
    </row>
    <row r="84" spans="12:24" ht="14.25" customHeight="1" x14ac:dyDescent="0.3">
      <c r="L84" s="136"/>
      <c r="M84" s="136"/>
      <c r="N84" s="136"/>
      <c r="O84" s="136"/>
      <c r="V84" s="98"/>
      <c r="W84" s="72"/>
      <c r="X84" s="132"/>
    </row>
    <row r="85" spans="12:24" ht="14.25" customHeight="1" x14ac:dyDescent="0.3">
      <c r="L85" s="136"/>
      <c r="M85" s="136"/>
      <c r="N85" s="136"/>
      <c r="O85" s="136"/>
      <c r="V85" s="98"/>
      <c r="W85" s="72"/>
      <c r="X85" s="132"/>
    </row>
    <row r="86" spans="12:24" ht="14.25" customHeight="1" x14ac:dyDescent="0.3">
      <c r="L86" s="136"/>
      <c r="M86" s="136"/>
      <c r="N86" s="136"/>
      <c r="O86" s="136"/>
      <c r="V86" s="98"/>
      <c r="W86" s="72"/>
      <c r="X86" s="146"/>
    </row>
    <row r="87" spans="12:24" ht="14.25" customHeight="1" x14ac:dyDescent="0.3">
      <c r="L87" s="136"/>
      <c r="M87" s="136"/>
      <c r="N87" s="136"/>
      <c r="O87" s="136"/>
      <c r="V87" s="98"/>
      <c r="X87" s="139"/>
    </row>
    <row r="88" spans="12:24" ht="14.25" customHeight="1" x14ac:dyDescent="0.3">
      <c r="L88" s="136"/>
      <c r="M88" s="136"/>
      <c r="N88" s="136"/>
      <c r="O88" s="136"/>
      <c r="V88" s="98"/>
      <c r="X88" s="139"/>
    </row>
    <row r="89" spans="12:24" ht="14.25" customHeight="1" x14ac:dyDescent="0.3">
      <c r="L89" s="136"/>
      <c r="M89" s="136"/>
      <c r="N89" s="136"/>
      <c r="O89" s="136"/>
      <c r="V89" s="98"/>
      <c r="W89" s="72"/>
      <c r="X89" s="147"/>
    </row>
    <row r="90" spans="12:24" ht="14.25" customHeight="1" x14ac:dyDescent="0.3">
      <c r="L90" s="136"/>
      <c r="M90" s="136"/>
      <c r="N90" s="136"/>
      <c r="O90" s="136"/>
      <c r="V90" s="98"/>
      <c r="W90" s="72"/>
      <c r="X90" s="147"/>
    </row>
    <row r="91" spans="12:24" ht="14.25" customHeight="1" x14ac:dyDescent="0.3">
      <c r="L91" s="136"/>
      <c r="M91" s="136"/>
      <c r="N91" s="136"/>
      <c r="O91" s="136"/>
      <c r="V91" s="98"/>
      <c r="X91" s="139"/>
    </row>
    <row r="92" spans="12:24" ht="14.25" customHeight="1" x14ac:dyDescent="0.3">
      <c r="L92" s="136"/>
      <c r="M92" s="136"/>
      <c r="N92" s="136"/>
      <c r="O92" s="136"/>
      <c r="V92" s="98"/>
      <c r="W92" s="72"/>
      <c r="X92" s="147"/>
    </row>
    <row r="93" spans="12:24" ht="14.25" customHeight="1" x14ac:dyDescent="0.3">
      <c r="L93" s="136"/>
      <c r="M93" s="136"/>
      <c r="N93" s="136"/>
      <c r="O93" s="136"/>
      <c r="V93" s="98"/>
      <c r="W93" s="72"/>
      <c r="X93" s="147"/>
    </row>
    <row r="94" spans="12:24" ht="14.25" customHeight="1" x14ac:dyDescent="0.3">
      <c r="L94" s="136"/>
      <c r="M94" s="136"/>
      <c r="N94" s="136"/>
      <c r="O94" s="136"/>
      <c r="V94" s="98"/>
      <c r="W94" s="72"/>
      <c r="X94" s="138"/>
    </row>
    <row r="95" spans="12:24" ht="14.25" customHeight="1" x14ac:dyDescent="0.3">
      <c r="L95" s="136"/>
      <c r="M95" s="136"/>
      <c r="N95" s="136"/>
      <c r="O95" s="136"/>
      <c r="V95" s="98"/>
      <c r="W95" s="72"/>
      <c r="X95" s="139"/>
    </row>
    <row r="96" spans="12:24" ht="14.25" customHeight="1" x14ac:dyDescent="0.3">
      <c r="L96" s="136"/>
      <c r="M96" s="136"/>
      <c r="N96" s="136"/>
      <c r="O96" s="136"/>
      <c r="V96" s="98"/>
      <c r="W96" s="72"/>
      <c r="X96" s="132"/>
    </row>
    <row r="97" spans="12:24" ht="14.25" customHeight="1" x14ac:dyDescent="0.3">
      <c r="L97" s="136"/>
      <c r="M97" s="136"/>
      <c r="N97" s="136"/>
      <c r="O97" s="136"/>
      <c r="V97" s="98"/>
      <c r="W97" s="72"/>
      <c r="X97" s="132"/>
    </row>
    <row r="98" spans="12:24" ht="14.25" customHeight="1" x14ac:dyDescent="0.3">
      <c r="L98" s="136"/>
      <c r="M98" s="136"/>
      <c r="N98" s="136"/>
      <c r="O98" s="136"/>
      <c r="X98" s="132"/>
    </row>
    <row r="99" spans="12:24" ht="14.25" customHeight="1" x14ac:dyDescent="0.3">
      <c r="L99" s="136"/>
      <c r="M99" s="136"/>
      <c r="N99" s="136"/>
      <c r="O99" s="136"/>
      <c r="V99" s="98"/>
      <c r="X99" s="135"/>
    </row>
    <row r="100" spans="12:24" ht="14.25" customHeight="1" x14ac:dyDescent="0.3">
      <c r="L100" s="136"/>
      <c r="M100" s="136"/>
      <c r="N100" s="136"/>
      <c r="O100" s="136"/>
      <c r="V100" s="98"/>
      <c r="W100" s="72"/>
      <c r="X100" s="139"/>
    </row>
    <row r="101" spans="12:24" ht="14.25" customHeight="1" x14ac:dyDescent="0.3">
      <c r="L101" s="136"/>
      <c r="M101" s="136"/>
      <c r="N101" s="136"/>
      <c r="O101" s="136"/>
      <c r="V101" s="98"/>
      <c r="W101" s="72"/>
      <c r="X101" s="138"/>
    </row>
    <row r="102" spans="12:24" ht="14.25" customHeight="1" x14ac:dyDescent="0.3">
      <c r="L102" s="136"/>
      <c r="M102" s="136"/>
      <c r="N102" s="136"/>
      <c r="O102" s="136"/>
      <c r="V102" s="98"/>
      <c r="W102" s="72"/>
      <c r="X102" s="138"/>
    </row>
    <row r="103" spans="12:24" ht="14.25" customHeight="1" x14ac:dyDescent="0.3">
      <c r="L103" s="136"/>
      <c r="M103" s="136"/>
      <c r="N103" s="136"/>
      <c r="O103" s="136"/>
      <c r="V103" s="98"/>
      <c r="W103" s="72"/>
      <c r="X103" s="138"/>
    </row>
    <row r="104" spans="12:24" ht="14.25" customHeight="1" x14ac:dyDescent="0.3">
      <c r="L104" s="136"/>
      <c r="M104" s="136"/>
      <c r="N104" s="136"/>
      <c r="O104" s="136"/>
      <c r="V104" s="98"/>
      <c r="W104" s="72"/>
      <c r="X104" s="138"/>
    </row>
    <row r="105" spans="12:24" ht="14.25" customHeight="1" x14ac:dyDescent="0.3">
      <c r="L105" s="136"/>
      <c r="M105" s="136"/>
      <c r="N105" s="136"/>
      <c r="O105" s="136"/>
      <c r="V105" s="98"/>
      <c r="W105" s="72"/>
      <c r="X105" s="138"/>
    </row>
    <row r="106" spans="12:24" ht="14.25" customHeight="1" x14ac:dyDescent="0.3">
      <c r="L106" s="136"/>
      <c r="M106" s="136"/>
      <c r="N106" s="136"/>
      <c r="O106" s="136"/>
      <c r="V106" s="98"/>
      <c r="X106" s="135"/>
    </row>
    <row r="107" spans="12:24" ht="14.25" customHeight="1" x14ac:dyDescent="0.3">
      <c r="L107" s="136"/>
      <c r="M107" s="136"/>
      <c r="N107" s="136"/>
      <c r="O107" s="136"/>
      <c r="V107" s="98"/>
      <c r="W107" s="72"/>
      <c r="X107" s="138"/>
    </row>
    <row r="108" spans="12:24" ht="14.25" customHeight="1" x14ac:dyDescent="0.3">
      <c r="L108" s="136"/>
      <c r="M108" s="136"/>
      <c r="N108" s="136"/>
      <c r="O108" s="136"/>
      <c r="V108" s="98"/>
      <c r="W108" s="72"/>
      <c r="X108" s="138"/>
    </row>
    <row r="109" spans="12:24" ht="14.25" customHeight="1" x14ac:dyDescent="0.3">
      <c r="L109" s="136"/>
      <c r="M109" s="136"/>
      <c r="N109" s="136"/>
      <c r="O109" s="136"/>
      <c r="V109" s="98"/>
      <c r="W109" s="72"/>
      <c r="X109" s="138"/>
    </row>
    <row r="110" spans="12:24" ht="14.25" customHeight="1" x14ac:dyDescent="0.3">
      <c r="L110" s="136"/>
      <c r="M110" s="136"/>
      <c r="N110" s="136"/>
      <c r="O110" s="136"/>
      <c r="V110" s="98"/>
      <c r="X110" s="139"/>
    </row>
    <row r="111" spans="12:24" ht="14.25" customHeight="1" x14ac:dyDescent="0.3">
      <c r="L111" s="136"/>
      <c r="M111" s="136"/>
      <c r="N111" s="136"/>
      <c r="O111" s="136"/>
      <c r="V111" s="98"/>
      <c r="X111" s="139"/>
    </row>
    <row r="112" spans="12:24" ht="14.25" customHeight="1" x14ac:dyDescent="0.3">
      <c r="L112" s="136"/>
      <c r="M112" s="136"/>
      <c r="N112" s="136"/>
      <c r="O112" s="136"/>
      <c r="V112" s="98"/>
      <c r="W112" s="72"/>
      <c r="X112" s="138"/>
    </row>
    <row r="113" spans="12:24" ht="14.25" customHeight="1" x14ac:dyDescent="0.3">
      <c r="L113" s="136"/>
      <c r="M113" s="136"/>
      <c r="N113" s="136"/>
      <c r="O113" s="136"/>
      <c r="V113" s="98"/>
      <c r="W113" s="72"/>
      <c r="X113" s="138"/>
    </row>
    <row r="114" spans="12:24" ht="14.25" customHeight="1" x14ac:dyDescent="0.3">
      <c r="L114" s="136"/>
      <c r="M114" s="136"/>
      <c r="N114" s="136"/>
      <c r="O114" s="136"/>
      <c r="V114" s="98"/>
      <c r="X114" s="139"/>
    </row>
    <row r="115" spans="12:24" ht="14.25" customHeight="1" x14ac:dyDescent="0.3">
      <c r="L115" s="136"/>
      <c r="M115" s="136"/>
      <c r="N115" s="136"/>
      <c r="O115" s="136"/>
      <c r="V115" s="98"/>
      <c r="W115" s="72"/>
      <c r="X115" s="100"/>
    </row>
    <row r="116" spans="12:24" ht="14.25" customHeight="1" x14ac:dyDescent="0.3">
      <c r="L116" s="136"/>
      <c r="M116" s="136"/>
      <c r="N116" s="136"/>
      <c r="O116" s="136"/>
      <c r="V116" s="98"/>
      <c r="W116" s="72"/>
      <c r="X116" s="132"/>
    </row>
    <row r="117" spans="12:24" ht="14.25" customHeight="1" x14ac:dyDescent="0.3">
      <c r="L117" s="136"/>
      <c r="M117" s="136"/>
      <c r="N117" s="136"/>
      <c r="O117" s="136"/>
      <c r="V117" s="98"/>
      <c r="W117" s="72"/>
      <c r="X117" s="132"/>
    </row>
    <row r="118" spans="12:24" ht="14.25" customHeight="1" x14ac:dyDescent="0.3">
      <c r="L118" s="136"/>
      <c r="M118" s="136"/>
      <c r="N118" s="136"/>
      <c r="O118" s="136"/>
      <c r="X118" s="138"/>
    </row>
    <row r="119" spans="12:24" ht="14.25" customHeight="1" x14ac:dyDescent="0.3">
      <c r="L119" s="136"/>
      <c r="M119" s="136"/>
      <c r="N119" s="136"/>
      <c r="O119" s="136"/>
    </row>
    <row r="120" spans="12:24" ht="14.25" customHeight="1" x14ac:dyDescent="0.3">
      <c r="L120" s="136"/>
      <c r="M120" s="136"/>
      <c r="N120" s="136"/>
      <c r="O120" s="136"/>
    </row>
    <row r="121" spans="12:24" ht="14.25" customHeight="1" x14ac:dyDescent="0.3">
      <c r="L121" s="136"/>
      <c r="M121" s="136"/>
      <c r="N121" s="136"/>
      <c r="O121" s="136"/>
    </row>
    <row r="122" spans="12:24" ht="14.25" customHeight="1" x14ac:dyDescent="0.3">
      <c r="L122" s="136"/>
      <c r="M122" s="136"/>
      <c r="N122" s="136"/>
      <c r="O122" s="136"/>
    </row>
    <row r="123" spans="12:24" ht="14.25" customHeight="1" x14ac:dyDescent="0.3">
      <c r="L123" s="136"/>
      <c r="M123" s="136"/>
      <c r="N123" s="136"/>
      <c r="O123" s="136"/>
    </row>
    <row r="124" spans="12:24" ht="14.25" customHeight="1" x14ac:dyDescent="0.3">
      <c r="L124" s="136"/>
      <c r="M124" s="136"/>
      <c r="N124" s="136"/>
      <c r="O124" s="136"/>
    </row>
    <row r="125" spans="12:24" ht="14.25" customHeight="1" x14ac:dyDescent="0.3">
      <c r="L125" s="136"/>
      <c r="M125" s="136"/>
      <c r="N125" s="136"/>
      <c r="O125" s="136"/>
    </row>
    <row r="126" spans="12:24" ht="14.25" customHeight="1" x14ac:dyDescent="0.3">
      <c r="L126" s="136"/>
      <c r="M126" s="136"/>
      <c r="N126" s="136"/>
      <c r="O126" s="136"/>
    </row>
    <row r="127" spans="12:24" ht="14.25" customHeight="1" x14ac:dyDescent="0.3">
      <c r="L127" s="136"/>
      <c r="M127" s="136"/>
      <c r="N127" s="136"/>
      <c r="O127" s="136"/>
    </row>
    <row r="128" spans="12:24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AF1E-571A-4856-89EF-06906ED88D19}">
  <sheetPr codeName="Sheet7"/>
  <dimension ref="A1:AD1000"/>
  <sheetViews>
    <sheetView showWhiteSpace="0" topLeftCell="A10" zoomScaleNormal="100" workbookViewId="0">
      <selection activeCell="C27" sqref="C27:L27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10.1640625" customWidth="1"/>
    <col min="19" max="19" width="9.58203125" customWidth="1"/>
    <col min="20" max="20" width="10.5" bestFit="1" customWidth="1"/>
    <col min="21" max="22" width="7.1640625" customWidth="1"/>
    <col min="23" max="23" width="7.5" customWidth="1"/>
    <col min="24" max="24" width="7.58203125" customWidth="1"/>
    <col min="25" max="28" width="7.1640625" bestFit="1" customWidth="1"/>
    <col min="29" max="30" width="6.08203125" bestFit="1" customWidth="1"/>
    <col min="31" max="31" width="5.75" customWidth="1"/>
    <col min="32" max="32" width="7.25" customWidth="1"/>
    <col min="33" max="33" width="6.33203125" customWidth="1"/>
    <col min="34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175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176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177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178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179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180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181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182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183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184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0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36</v>
      </c>
      <c r="R22" s="151" t="s">
        <v>37</v>
      </c>
      <c r="S22" s="151" t="s">
        <v>38</v>
      </c>
      <c r="T22" s="151" t="s">
        <v>101</v>
      </c>
      <c r="U22" s="151" t="s">
        <v>185</v>
      </c>
      <c r="V22" s="151" t="s">
        <v>115</v>
      </c>
      <c r="W22" s="148" t="s">
        <v>122</v>
      </c>
      <c r="X22" s="148" t="s">
        <v>186</v>
      </c>
      <c r="Y22" s="148" t="s">
        <v>187</v>
      </c>
      <c r="Z22" s="148" t="s">
        <v>188</v>
      </c>
      <c r="AA22" s="148" t="s">
        <v>189</v>
      </c>
      <c r="AD22" s="152"/>
    </row>
    <row r="23" spans="1:30" s="148" customFormat="1" ht="14.25" customHeight="1" x14ac:dyDescent="0.35">
      <c r="A23" s="76">
        <v>1</v>
      </c>
      <c r="B23" s="54"/>
      <c r="C23" s="51" t="s">
        <v>190</v>
      </c>
      <c r="D23" s="6"/>
      <c r="E23" s="6"/>
      <c r="F23" s="6"/>
      <c r="G23" s="6"/>
      <c r="H23" s="6"/>
      <c r="I23" s="153">
        <v>1</v>
      </c>
      <c r="J23" s="154" t="s">
        <v>47</v>
      </c>
      <c r="K23" s="10"/>
      <c r="L23" s="56">
        <v>1845</v>
      </c>
      <c r="M23" s="78"/>
      <c r="N23" s="56"/>
      <c r="O23" s="78">
        <f>SUM(I23*L23)</f>
        <v>1845</v>
      </c>
      <c r="Q23" s="155">
        <v>8.1999999999999993</v>
      </c>
      <c r="R23" s="155"/>
      <c r="S23" s="155">
        <v>8.5</v>
      </c>
      <c r="T23" s="155" t="s">
        <v>191</v>
      </c>
      <c r="U23" s="155">
        <v>7.5</v>
      </c>
      <c r="V23" s="155"/>
      <c r="X23" s="152">
        <v>7.7</v>
      </c>
      <c r="Y23" s="155">
        <v>7.6</v>
      </c>
      <c r="Z23" s="155">
        <v>7.5</v>
      </c>
      <c r="AA23" s="155">
        <v>7.4</v>
      </c>
      <c r="AB23" s="155"/>
      <c r="AC23" s="155"/>
      <c r="AD23" s="152"/>
    </row>
    <row r="24" spans="1:30" s="148" customFormat="1" ht="14.25" customHeight="1" x14ac:dyDescent="0.35">
      <c r="A24" s="76">
        <v>2</v>
      </c>
      <c r="B24" s="54"/>
      <c r="C24" s="10" t="s">
        <v>192</v>
      </c>
      <c r="D24" s="6"/>
      <c r="E24" s="6"/>
      <c r="F24" s="6"/>
      <c r="G24" s="6"/>
      <c r="H24" s="6"/>
      <c r="I24" s="153">
        <v>1</v>
      </c>
      <c r="J24" s="154" t="s">
        <v>49</v>
      </c>
      <c r="K24" s="10"/>
      <c r="L24" s="56">
        <v>225</v>
      </c>
      <c r="M24" s="78"/>
      <c r="N24" s="56"/>
      <c r="O24" s="78">
        <f t="shared" ref="O24:O27" si="0">SUM(I24*L24)</f>
        <v>225</v>
      </c>
      <c r="R24" s="155">
        <v>7.5</v>
      </c>
      <c r="W24" s="155">
        <v>7.2</v>
      </c>
      <c r="X24" s="152">
        <v>7</v>
      </c>
      <c r="Y24" s="155"/>
      <c r="Z24" s="155">
        <v>7</v>
      </c>
      <c r="AA24" s="155">
        <v>7</v>
      </c>
      <c r="AB24" s="155"/>
      <c r="AC24" s="155"/>
    </row>
    <row r="25" spans="1:30" s="148" customFormat="1" ht="14.25" customHeight="1" x14ac:dyDescent="0.35">
      <c r="A25" s="76">
        <v>3</v>
      </c>
      <c r="B25" s="54"/>
      <c r="C25" s="156" t="s">
        <v>129</v>
      </c>
      <c r="D25" s="6"/>
      <c r="E25" s="6"/>
      <c r="F25" s="6"/>
      <c r="G25" s="6"/>
      <c r="H25" s="6"/>
      <c r="I25" s="20">
        <v>1</v>
      </c>
      <c r="J25" s="55" t="s">
        <v>49</v>
      </c>
      <c r="K25" s="10"/>
      <c r="L25" s="56">
        <v>306</v>
      </c>
      <c r="M25" s="78"/>
      <c r="N25" s="56"/>
      <c r="O25" s="78">
        <f t="shared" si="0"/>
        <v>306</v>
      </c>
      <c r="V25" s="155">
        <v>6.8</v>
      </c>
      <c r="X25" s="155">
        <v>7</v>
      </c>
      <c r="Y25" s="155"/>
      <c r="Z25" s="155"/>
      <c r="AA25" s="155"/>
      <c r="AB25" s="155"/>
      <c r="AC25" s="155"/>
    </row>
    <row r="26" spans="1:30" s="148" customFormat="1" ht="14.25" customHeight="1" x14ac:dyDescent="0.35">
      <c r="A26" s="76">
        <v>4</v>
      </c>
      <c r="B26" s="54"/>
      <c r="C26" s="10" t="s">
        <v>52</v>
      </c>
      <c r="D26" s="6"/>
      <c r="E26" s="6"/>
      <c r="F26" s="6"/>
      <c r="G26" s="6"/>
      <c r="H26" s="6"/>
      <c r="I26" s="153">
        <v>1</v>
      </c>
      <c r="J26" s="55" t="s">
        <v>53</v>
      </c>
      <c r="K26" s="10"/>
      <c r="L26" s="56">
        <v>115</v>
      </c>
      <c r="M26" s="78"/>
      <c r="N26" s="56"/>
      <c r="O26" s="78">
        <f t="shared" si="0"/>
        <v>115</v>
      </c>
      <c r="AA26" s="155"/>
      <c r="AB26" s="155"/>
      <c r="AC26" s="155"/>
    </row>
    <row r="27" spans="1:30" s="148" customFormat="1" ht="14.25" customHeight="1" x14ac:dyDescent="0.35">
      <c r="A27" s="76">
        <v>5</v>
      </c>
      <c r="B27" s="54"/>
      <c r="C27" s="157" t="s">
        <v>82</v>
      </c>
      <c r="D27" s="6"/>
      <c r="E27" s="6"/>
      <c r="F27" s="6"/>
      <c r="G27" s="6"/>
      <c r="H27" s="6"/>
      <c r="I27" s="153">
        <v>1</v>
      </c>
      <c r="J27" s="154" t="s">
        <v>51</v>
      </c>
      <c r="K27" s="10"/>
      <c r="L27" s="56">
        <v>62.5</v>
      </c>
      <c r="M27" s="78"/>
      <c r="N27" s="56"/>
      <c r="O27" s="78">
        <f t="shared" si="0"/>
        <v>62.5</v>
      </c>
      <c r="X27" s="155"/>
      <c r="Z27" s="155"/>
      <c r="AA27" s="155"/>
      <c r="AB27" s="155"/>
      <c r="AC27" s="155"/>
    </row>
    <row r="28" spans="1:30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Z28" s="155"/>
      <c r="AA28" s="155"/>
      <c r="AB28" s="155"/>
    </row>
    <row r="29" spans="1:30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Z29" s="155"/>
      <c r="AA29" s="155"/>
    </row>
    <row r="30" spans="1:30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B30" s="155"/>
    </row>
    <row r="31" spans="1:30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0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2553.5</v>
      </c>
    </row>
    <row r="55" spans="1:15" s="148" customFormat="1" ht="14.25" customHeight="1" x14ac:dyDescent="0.35">
      <c r="A55" s="10" t="s">
        <v>193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1D19-5AE9-47EB-951E-8CD0BD764048}">
  <sheetPr codeName="Sheet8"/>
  <dimension ref="A1:AH1003"/>
  <sheetViews>
    <sheetView topLeftCell="A10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7.4140625" customWidth="1"/>
    <col min="19" max="19" width="14.58203125" bestFit="1" customWidth="1"/>
    <col min="20" max="20" width="8.4140625" bestFit="1" customWidth="1"/>
    <col min="21" max="21" width="12.6640625" customWidth="1"/>
    <col min="22" max="22" width="10.6640625" style="66" customWidth="1"/>
    <col min="23" max="23" width="10.9140625" style="66" customWidth="1"/>
    <col min="24" max="24" width="11" customWidth="1"/>
    <col min="25" max="25" width="9.75" bestFit="1" customWidth="1"/>
    <col min="26" max="26" width="10.08203125" customWidth="1"/>
    <col min="27" max="27" width="11.33203125" customWidth="1"/>
    <col min="28" max="28" width="6.58203125" customWidth="1"/>
    <col min="29" max="1028" width="12.83203125" customWidth="1"/>
    <col min="1029" max="102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194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195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196</v>
      </c>
      <c r="O17" s="10"/>
    </row>
    <row r="18" spans="1:34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37</v>
      </c>
      <c r="S22" s="72" t="s">
        <v>38</v>
      </c>
      <c r="T22" s="72" t="s">
        <v>101</v>
      </c>
      <c r="U22" s="72" t="s">
        <v>115</v>
      </c>
      <c r="V22" s="72" t="s">
        <v>39</v>
      </c>
      <c r="W22" s="66">
        <v>1225</v>
      </c>
      <c r="X22" s="72" t="s">
        <v>116</v>
      </c>
      <c r="Y22" s="72" t="s">
        <v>117</v>
      </c>
      <c r="Z22" s="72" t="s">
        <v>118</v>
      </c>
      <c r="AA22" s="73" t="s">
        <v>119</v>
      </c>
      <c r="AB22" s="74" t="s">
        <v>120</v>
      </c>
      <c r="AC22" s="74" t="s">
        <v>121</v>
      </c>
      <c r="AD22" s="75" t="s">
        <v>122</v>
      </c>
      <c r="AE22" s="74" t="s">
        <v>123</v>
      </c>
      <c r="AF22" s="74" t="s">
        <v>124</v>
      </c>
      <c r="AG22" s="74" t="s">
        <v>125</v>
      </c>
      <c r="AH22" s="74" t="s">
        <v>125</v>
      </c>
    </row>
    <row r="23" spans="1:34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8.1</v>
      </c>
      <c r="S23" s="79">
        <v>7.9</v>
      </c>
      <c r="T23" s="79">
        <v>7.5</v>
      </c>
      <c r="U23" s="79" t="s">
        <v>127</v>
      </c>
      <c r="V23" s="79">
        <v>6.6</v>
      </c>
      <c r="W23" s="79">
        <v>6.8</v>
      </c>
      <c r="X23" s="79">
        <v>6.9</v>
      </c>
      <c r="Y23" s="79">
        <v>7</v>
      </c>
      <c r="AA23" s="79"/>
      <c r="AB23" s="66"/>
      <c r="AC23" s="80">
        <v>7.2</v>
      </c>
      <c r="AE23" s="79">
        <v>7.3</v>
      </c>
      <c r="AF23" s="79">
        <v>7.4</v>
      </c>
      <c r="AG23" s="79">
        <v>7.4</v>
      </c>
      <c r="AH23" s="79">
        <v>7.4</v>
      </c>
    </row>
    <row r="24" spans="1:34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8" si="0">SUM(I24*L24)</f>
        <v>2610</v>
      </c>
      <c r="Q24" s="79"/>
      <c r="R24" s="79"/>
      <c r="S24" s="79"/>
      <c r="T24" s="79">
        <v>5.8</v>
      </c>
      <c r="U24" s="66" t="s">
        <v>128</v>
      </c>
      <c r="V24"/>
      <c r="W24"/>
      <c r="X24" s="79"/>
      <c r="Y24" s="79">
        <v>5.9</v>
      </c>
      <c r="Z24" s="79">
        <v>5.9</v>
      </c>
      <c r="AA24" s="79"/>
      <c r="AB24" s="66"/>
      <c r="AC24" s="80"/>
      <c r="AD24" s="79">
        <v>5.8</v>
      </c>
      <c r="AF24" s="79">
        <v>5.9</v>
      </c>
      <c r="AG24" s="79">
        <v>6.1</v>
      </c>
    </row>
    <row r="25" spans="1:34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>
        <v>4.5999999999999996</v>
      </c>
      <c r="V25"/>
      <c r="W25"/>
      <c r="Y25" s="79">
        <v>5.0999999999999996</v>
      </c>
      <c r="Z25" s="79"/>
      <c r="AA25" s="79">
        <v>5.5</v>
      </c>
      <c r="AB25" s="66"/>
      <c r="AC25" s="66"/>
      <c r="AD25" s="79">
        <v>5.3</v>
      </c>
      <c r="AF25" s="79">
        <v>5.3</v>
      </c>
      <c r="AG25" s="81">
        <v>6</v>
      </c>
      <c r="AH25" s="79">
        <v>6.1</v>
      </c>
    </row>
    <row r="26" spans="1:34" ht="14.25" customHeight="1" x14ac:dyDescent="0.35">
      <c r="A26" s="76">
        <v>4</v>
      </c>
      <c r="B26" s="54"/>
      <c r="C26" s="6" t="s">
        <v>131</v>
      </c>
      <c r="D26" s="6"/>
      <c r="E26" s="6"/>
      <c r="F26" s="6"/>
      <c r="G26" s="6"/>
      <c r="H26" s="6"/>
      <c r="I26" s="20">
        <v>1</v>
      </c>
      <c r="J26" s="55" t="s">
        <v>55</v>
      </c>
      <c r="K26" s="10"/>
      <c r="L26" s="56">
        <v>1000</v>
      </c>
      <c r="M26" s="78"/>
      <c r="N26" s="56"/>
      <c r="O26" s="78">
        <f t="shared" si="0"/>
        <v>1000</v>
      </c>
      <c r="Q26" s="79"/>
      <c r="R26" s="79"/>
      <c r="S26" s="79"/>
      <c r="T26" s="79"/>
      <c r="V26"/>
      <c r="W26"/>
      <c r="Y26" s="79"/>
      <c r="AA26" s="79"/>
      <c r="AB26" s="66"/>
      <c r="AC26" s="66"/>
      <c r="AH26" s="81">
        <v>5.5</v>
      </c>
    </row>
    <row r="27" spans="1:34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Q27" s="79"/>
      <c r="R27" s="79"/>
      <c r="S27" s="79"/>
      <c r="T27" s="79"/>
      <c r="U27" s="79"/>
    </row>
    <row r="28" spans="1:34" ht="14.25" customHeight="1" x14ac:dyDescent="0.35">
      <c r="A28" s="76">
        <v>6</v>
      </c>
      <c r="B28" s="54"/>
      <c r="C28" s="6" t="s">
        <v>52</v>
      </c>
      <c r="D28" s="6"/>
      <c r="E28" s="6"/>
      <c r="F28" s="6"/>
      <c r="G28" s="6"/>
      <c r="H28" s="6"/>
      <c r="I28" s="20">
        <v>4</v>
      </c>
      <c r="J28" s="55" t="s">
        <v>53</v>
      </c>
      <c r="K28" s="10"/>
      <c r="L28" s="56">
        <v>115</v>
      </c>
      <c r="M28" s="78"/>
      <c r="N28" s="56"/>
      <c r="O28" s="78">
        <f t="shared" si="0"/>
        <v>460</v>
      </c>
      <c r="Z28" s="79"/>
      <c r="AA28" s="79"/>
      <c r="AB28" s="79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S30" s="83" t="s">
        <v>13</v>
      </c>
      <c r="T30" s="83" t="s">
        <v>5</v>
      </c>
      <c r="U30" s="83" t="s">
        <v>132</v>
      </c>
      <c r="X30" s="84"/>
      <c r="Y30" s="84"/>
      <c r="Z30" s="84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S31" s="85" t="s">
        <v>133</v>
      </c>
      <c r="T31" s="85"/>
      <c r="U31" s="86">
        <v>162714</v>
      </c>
      <c r="X31" s="87"/>
      <c r="Y31" s="84"/>
      <c r="Z31" s="8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S32" s="89">
        <v>46175</v>
      </c>
      <c r="T32" s="90" t="s">
        <v>134</v>
      </c>
      <c r="U32" s="79">
        <v>15351.5</v>
      </c>
      <c r="X32" s="91"/>
      <c r="Y32" s="84"/>
      <c r="Z32" s="92"/>
    </row>
    <row r="33" spans="1:29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S33" s="93">
        <v>46179</v>
      </c>
      <c r="T33" s="94" t="s">
        <v>135</v>
      </c>
      <c r="U33" s="95">
        <v>-30000</v>
      </c>
      <c r="X33" s="91"/>
      <c r="Y33" s="96"/>
      <c r="Z33" s="97"/>
    </row>
    <row r="34" spans="1:29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S34" s="98">
        <v>46179</v>
      </c>
      <c r="T34" s="90" t="s">
        <v>136</v>
      </c>
      <c r="U34" s="79">
        <v>18390</v>
      </c>
      <c r="X34" s="91"/>
      <c r="Y34" s="96"/>
      <c r="Z34" s="88"/>
      <c r="AC34" s="66"/>
    </row>
    <row r="35" spans="1:29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S35" s="98">
        <v>46182</v>
      </c>
      <c r="T35" s="90" t="s">
        <v>137</v>
      </c>
      <c r="U35" s="79">
        <v>19817.5</v>
      </c>
      <c r="X35" s="91"/>
      <c r="Y35" s="96"/>
      <c r="Z35" s="97"/>
    </row>
    <row r="36" spans="1:29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S36" s="93">
        <v>46182</v>
      </c>
      <c r="T36" s="94" t="s">
        <v>135</v>
      </c>
      <c r="U36" s="95">
        <v>-18500</v>
      </c>
      <c r="X36" s="91"/>
      <c r="Y36" s="96"/>
      <c r="Z36" s="99"/>
    </row>
    <row r="37" spans="1:29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S37" s="98">
        <v>46185</v>
      </c>
      <c r="T37" s="90" t="s">
        <v>138</v>
      </c>
      <c r="U37" s="79">
        <v>19817.5</v>
      </c>
      <c r="X37" s="91"/>
      <c r="Y37" s="96"/>
      <c r="Z37" s="100"/>
    </row>
    <row r="38" spans="1:2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S38" s="93">
        <v>46185</v>
      </c>
      <c r="T38" s="94" t="s">
        <v>135</v>
      </c>
      <c r="U38" s="95">
        <v>-21000</v>
      </c>
      <c r="V38" s="101"/>
      <c r="W38" s="95"/>
      <c r="X38" s="91"/>
      <c r="Y38" s="96"/>
      <c r="Z38" s="102"/>
    </row>
    <row r="39" spans="1:2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S39" s="98">
        <v>46188</v>
      </c>
      <c r="T39" s="90" t="s">
        <v>139</v>
      </c>
      <c r="U39" s="79">
        <v>18259</v>
      </c>
      <c r="V39" s="103"/>
      <c r="W39" s="104"/>
      <c r="X39" s="91"/>
      <c r="Y39" s="96"/>
      <c r="Z39" s="100"/>
    </row>
    <row r="40" spans="1:2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S40" s="93">
        <v>46189</v>
      </c>
      <c r="T40" s="94" t="s">
        <v>135</v>
      </c>
      <c r="U40" s="95">
        <v>-50000</v>
      </c>
      <c r="V40" s="103"/>
      <c r="W40" s="104"/>
      <c r="X40" s="91"/>
      <c r="Y40" s="96"/>
      <c r="Z40" s="105"/>
    </row>
    <row r="41" spans="1:2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S41" s="98">
        <v>46190</v>
      </c>
      <c r="T41" s="90" t="s">
        <v>140</v>
      </c>
      <c r="U41" s="104">
        <v>3070</v>
      </c>
      <c r="V41" s="101"/>
      <c r="W41" s="95"/>
      <c r="X41" s="91"/>
      <c r="Y41" s="96"/>
      <c r="Z41" s="105"/>
    </row>
    <row r="42" spans="1:2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S42" s="98">
        <v>46191</v>
      </c>
      <c r="T42" s="90" t="s">
        <v>141</v>
      </c>
      <c r="U42" s="79">
        <v>29278</v>
      </c>
      <c r="V42" s="103"/>
      <c r="W42" s="106"/>
      <c r="X42" s="91"/>
      <c r="Y42" s="96"/>
      <c r="Z42" s="105"/>
    </row>
    <row r="43" spans="1:2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S43" s="93">
        <v>46195</v>
      </c>
      <c r="T43" s="94" t="s">
        <v>135</v>
      </c>
      <c r="U43" s="95">
        <v>-30000</v>
      </c>
      <c r="V43" s="103"/>
      <c r="W43" s="104"/>
      <c r="X43" s="91"/>
      <c r="Y43" s="96"/>
      <c r="Z43" s="105"/>
    </row>
    <row r="44" spans="1:2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S44" s="98">
        <v>46195</v>
      </c>
      <c r="T44" s="90" t="s">
        <v>142</v>
      </c>
      <c r="U44" s="79">
        <v>23724.400000000001</v>
      </c>
      <c r="V44" s="101"/>
      <c r="W44" s="95"/>
      <c r="X44" s="91"/>
      <c r="Y44" s="96"/>
      <c r="Z44" s="97"/>
    </row>
    <row r="45" spans="1:2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S45" s="98">
        <v>46196</v>
      </c>
      <c r="T45" s="90" t="s">
        <v>143</v>
      </c>
      <c r="U45" s="79">
        <v>1410</v>
      </c>
      <c r="V45" s="107"/>
      <c r="W45" s="108"/>
      <c r="X45" s="91"/>
      <c r="Y45" s="96"/>
      <c r="Z45" s="102"/>
    </row>
    <row r="46" spans="1:2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S46" s="98">
        <v>46198</v>
      </c>
      <c r="T46" s="90" t="s">
        <v>144</v>
      </c>
      <c r="U46" s="79">
        <v>23624.400000000001</v>
      </c>
      <c r="V46" s="107"/>
      <c r="W46" s="109"/>
      <c r="X46" s="91"/>
      <c r="Y46" s="96"/>
      <c r="Z46" s="105"/>
    </row>
    <row r="47" spans="1:2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S47" s="93">
        <v>46199</v>
      </c>
      <c r="T47" s="94" t="s">
        <v>135</v>
      </c>
      <c r="U47" s="95">
        <v>-26000</v>
      </c>
      <c r="V47" s="107"/>
      <c r="W47" s="108"/>
      <c r="X47" s="91"/>
      <c r="Y47" s="96"/>
      <c r="Z47" s="105"/>
    </row>
    <row r="48" spans="1:2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S48" s="98">
        <v>46200</v>
      </c>
      <c r="T48" s="90" t="s">
        <v>145</v>
      </c>
      <c r="U48" s="79">
        <v>14888.5</v>
      </c>
      <c r="V48" s="107"/>
      <c r="W48" s="108"/>
      <c r="X48" s="91"/>
      <c r="Y48" s="96"/>
      <c r="Z48" s="105"/>
    </row>
    <row r="49" spans="1:28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S49" s="93">
        <v>46203</v>
      </c>
      <c r="T49" s="94" t="s">
        <v>135</v>
      </c>
      <c r="U49" s="95">
        <v>-25000</v>
      </c>
      <c r="V49" s="110"/>
      <c r="W49" s="109"/>
      <c r="X49" s="91"/>
      <c r="Y49" s="96"/>
      <c r="Z49" s="105"/>
    </row>
    <row r="50" spans="1:28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S50" s="98">
        <v>46203</v>
      </c>
      <c r="T50" s="90" t="s">
        <v>146</v>
      </c>
      <c r="U50" s="79">
        <v>14937.5</v>
      </c>
      <c r="V50" s="107"/>
      <c r="W50" s="108"/>
      <c r="X50" s="91"/>
      <c r="Y50" s="96"/>
      <c r="Z50" s="102"/>
    </row>
    <row r="51" spans="1:28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S51" s="85" t="s">
        <v>147</v>
      </c>
      <c r="U51" s="111">
        <f>SUM(U31:U50)</f>
        <v>164782.29999999999</v>
      </c>
      <c r="V51" s="107"/>
      <c r="W51" s="108"/>
      <c r="X51" s="91"/>
      <c r="Y51" s="96"/>
      <c r="Z51" s="105"/>
    </row>
    <row r="52" spans="1:28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S52" s="98">
        <v>46210</v>
      </c>
      <c r="T52" s="90" t="s">
        <v>148</v>
      </c>
      <c r="U52" s="79">
        <v>30513</v>
      </c>
      <c r="V52" s="107"/>
      <c r="W52" s="108"/>
      <c r="X52" s="91"/>
      <c r="Y52" s="96"/>
      <c r="Z52" s="105"/>
    </row>
    <row r="53" spans="1:28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S53" s="93">
        <v>46212</v>
      </c>
      <c r="T53" s="94" t="s">
        <v>135</v>
      </c>
      <c r="U53" s="95">
        <v>-25000</v>
      </c>
      <c r="V53" s="107"/>
      <c r="W53" s="108"/>
      <c r="X53" s="119"/>
      <c r="Y53" s="91"/>
      <c r="Z53" s="105"/>
    </row>
    <row r="54" spans="1:28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15326</v>
      </c>
      <c r="S54" s="98">
        <v>46213</v>
      </c>
      <c r="T54" s="90" t="s">
        <v>148</v>
      </c>
      <c r="U54" s="132">
        <v>16715</v>
      </c>
      <c r="V54" s="110"/>
      <c r="W54" s="109"/>
      <c r="X54" s="119"/>
      <c r="Y54" s="91"/>
      <c r="Z54" s="126"/>
    </row>
    <row r="55" spans="1:28" ht="14.25" customHeight="1" x14ac:dyDescent="0.35">
      <c r="A55" s="10" t="s">
        <v>198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S55" s="98">
        <v>46217</v>
      </c>
      <c r="T55" s="90" t="s">
        <v>199</v>
      </c>
      <c r="U55" s="146">
        <v>15326</v>
      </c>
      <c r="V55" s="110"/>
      <c r="W55" s="109"/>
      <c r="X55" s="119"/>
      <c r="Y55" s="91"/>
      <c r="Z55" s="84"/>
    </row>
    <row r="56" spans="1:28" ht="14.25" customHeight="1" thickBot="1" x14ac:dyDescent="0.4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118">
        <f>SUM(U51:U55)</f>
        <v>202336.3</v>
      </c>
      <c r="V56" s="127"/>
      <c r="W56" s="108"/>
      <c r="X56" s="128"/>
    </row>
    <row r="57" spans="1:28" ht="14.25" customHeight="1" thickTop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V57" s="127"/>
      <c r="W57" s="108"/>
      <c r="X57" s="129"/>
    </row>
    <row r="58" spans="1:28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V58" s="110"/>
      <c r="W58" s="109"/>
      <c r="X58" s="130"/>
    </row>
    <row r="59" spans="1:28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V59" s="131"/>
      <c r="W59" s="109"/>
      <c r="X59" s="99"/>
    </row>
    <row r="60" spans="1:28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V60" s="127"/>
      <c r="W60" s="108"/>
      <c r="X60" s="132"/>
      <c r="AB60" t="s">
        <v>151</v>
      </c>
    </row>
    <row r="61" spans="1:28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V61" s="127"/>
      <c r="W61" s="108"/>
      <c r="X61" s="129"/>
    </row>
    <row r="62" spans="1:28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V62" s="131"/>
      <c r="W62" s="109"/>
      <c r="X62" s="133"/>
    </row>
    <row r="63" spans="1:28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V63" s="127"/>
      <c r="W63" s="108"/>
      <c r="X63" s="100"/>
    </row>
    <row r="64" spans="1:28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V64" s="127"/>
      <c r="W64" s="108"/>
      <c r="X64" s="129"/>
    </row>
    <row r="65" spans="1:27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34"/>
      <c r="W65" s="109"/>
      <c r="X65" s="135"/>
    </row>
    <row r="66" spans="1:27" ht="14.25" customHeight="1" x14ac:dyDescent="0.3">
      <c r="L66" s="136"/>
      <c r="M66" s="136"/>
      <c r="N66" s="136"/>
      <c r="O66" s="136"/>
      <c r="V66" s="127"/>
      <c r="W66" s="108"/>
      <c r="X66" s="129"/>
    </row>
    <row r="67" spans="1:27" ht="13" customHeight="1" x14ac:dyDescent="0.3">
      <c r="L67" s="136"/>
      <c r="M67" s="136"/>
      <c r="N67" s="136"/>
      <c r="O67" s="136"/>
      <c r="V67" s="127"/>
      <c r="W67" s="137"/>
      <c r="X67" s="132"/>
    </row>
    <row r="68" spans="1:27" ht="14.25" customHeight="1" x14ac:dyDescent="0.3">
      <c r="L68" s="136"/>
      <c r="M68" s="136"/>
      <c r="N68" s="136"/>
      <c r="O68" s="136"/>
      <c r="V68" s="131"/>
      <c r="W68" s="109"/>
      <c r="X68" s="132"/>
    </row>
    <row r="69" spans="1:27" ht="14.25" customHeight="1" x14ac:dyDescent="0.3">
      <c r="L69" s="136"/>
      <c r="M69" s="136"/>
      <c r="N69" s="136"/>
      <c r="O69" s="136"/>
      <c r="V69" s="127"/>
      <c r="W69" s="108"/>
      <c r="X69" s="132"/>
    </row>
    <row r="70" spans="1:27" ht="14.25" customHeight="1" x14ac:dyDescent="0.3">
      <c r="L70" s="136"/>
      <c r="M70" s="136"/>
      <c r="N70" s="136"/>
      <c r="O70" s="136"/>
      <c r="V70" s="127"/>
      <c r="W70" s="108"/>
      <c r="X70" s="138"/>
    </row>
    <row r="71" spans="1:27" ht="14.25" customHeight="1" x14ac:dyDescent="0.3">
      <c r="L71" s="136"/>
      <c r="M71" s="136"/>
      <c r="N71" s="136"/>
      <c r="O71" s="136"/>
      <c r="V71" s="131"/>
      <c r="W71" s="109"/>
      <c r="X71" s="139"/>
    </row>
    <row r="72" spans="1:27" ht="14.25" customHeight="1" x14ac:dyDescent="0.3">
      <c r="L72" s="136"/>
      <c r="M72" s="136"/>
      <c r="N72" s="136"/>
      <c r="O72" s="136"/>
      <c r="V72" s="127"/>
      <c r="W72" s="108"/>
      <c r="X72" s="138"/>
    </row>
    <row r="73" spans="1:27" ht="14.25" customHeight="1" x14ac:dyDescent="0.3">
      <c r="L73" s="136"/>
      <c r="M73" s="136"/>
      <c r="N73" s="136"/>
      <c r="O73" s="136"/>
      <c r="V73" s="140"/>
      <c r="W73" s="141"/>
      <c r="X73" s="138"/>
      <c r="AA73" s="79"/>
    </row>
    <row r="74" spans="1:27" ht="14.25" customHeight="1" x14ac:dyDescent="0.3">
      <c r="L74" s="136"/>
      <c r="M74" s="136"/>
      <c r="N74" s="136"/>
      <c r="O74" s="136"/>
      <c r="V74" s="93"/>
      <c r="W74" s="142"/>
      <c r="X74" s="138"/>
      <c r="AA74" s="79"/>
    </row>
    <row r="75" spans="1:27" ht="14.25" customHeight="1" x14ac:dyDescent="0.3">
      <c r="L75" s="136"/>
      <c r="M75" s="136"/>
      <c r="N75" s="136"/>
      <c r="O75" s="136"/>
      <c r="V75" s="103"/>
      <c r="W75" s="143"/>
      <c r="X75" s="138"/>
    </row>
    <row r="76" spans="1:27" ht="14.25" customHeight="1" x14ac:dyDescent="0.3">
      <c r="L76" s="136"/>
      <c r="M76" s="136"/>
      <c r="N76" s="136"/>
      <c r="O76" s="136"/>
      <c r="V76" s="103"/>
      <c r="W76" s="144"/>
      <c r="X76" s="138"/>
    </row>
    <row r="77" spans="1:27" ht="14.25" customHeight="1" x14ac:dyDescent="0.3">
      <c r="L77" s="136"/>
      <c r="M77" s="136"/>
      <c r="N77" s="136"/>
      <c r="O77" s="136"/>
      <c r="V77" s="98"/>
      <c r="W77" s="145"/>
      <c r="X77" s="138"/>
    </row>
    <row r="78" spans="1:27" ht="14.25" customHeight="1" x14ac:dyDescent="0.3">
      <c r="L78" s="136"/>
      <c r="M78" s="136"/>
      <c r="N78" s="136"/>
      <c r="O78" s="136"/>
      <c r="V78" s="98"/>
      <c r="W78" s="72"/>
      <c r="X78" s="138"/>
    </row>
    <row r="79" spans="1:27" ht="14.25" customHeight="1" x14ac:dyDescent="0.3">
      <c r="L79" s="136"/>
      <c r="M79" s="136"/>
      <c r="N79" s="136"/>
      <c r="O79" s="136"/>
      <c r="V79" s="98"/>
      <c r="X79" s="139"/>
    </row>
    <row r="80" spans="1:27" ht="14.25" customHeight="1" x14ac:dyDescent="0.3">
      <c r="L80" s="136"/>
      <c r="M80" s="136"/>
      <c r="N80" s="136"/>
      <c r="O80" s="136"/>
      <c r="V80" s="98"/>
      <c r="W80" s="72"/>
      <c r="X80" s="138"/>
    </row>
    <row r="81" spans="12:24" ht="14.25" customHeight="1" x14ac:dyDescent="0.3">
      <c r="L81" s="136"/>
      <c r="M81" s="136"/>
      <c r="N81" s="136"/>
      <c r="O81" s="136"/>
      <c r="V81" s="98"/>
      <c r="W81" s="72"/>
      <c r="X81" s="139"/>
    </row>
    <row r="82" spans="12:24" ht="14.25" customHeight="1" x14ac:dyDescent="0.3">
      <c r="L82" s="136"/>
      <c r="M82" s="136"/>
      <c r="N82" s="136"/>
      <c r="O82" s="136"/>
      <c r="V82" s="98"/>
      <c r="W82" s="72"/>
      <c r="X82" s="138"/>
    </row>
    <row r="83" spans="12:24" ht="14.25" customHeight="1" x14ac:dyDescent="0.3">
      <c r="L83" s="136"/>
      <c r="M83" s="136"/>
      <c r="N83" s="136"/>
      <c r="O83" s="136"/>
      <c r="V83" s="98"/>
      <c r="X83" s="138"/>
    </row>
    <row r="84" spans="12:24" ht="14.25" customHeight="1" x14ac:dyDescent="0.3">
      <c r="L84" s="136"/>
      <c r="M84" s="136"/>
      <c r="N84" s="136"/>
      <c r="O84" s="136"/>
      <c r="V84" s="98"/>
      <c r="W84" s="72"/>
      <c r="X84" s="132"/>
    </row>
    <row r="85" spans="12:24" ht="14.25" customHeight="1" x14ac:dyDescent="0.3">
      <c r="L85" s="136"/>
      <c r="M85" s="136"/>
      <c r="N85" s="136"/>
      <c r="O85" s="136"/>
      <c r="V85" s="98"/>
      <c r="W85" s="72"/>
      <c r="X85" s="132"/>
    </row>
    <row r="86" spans="12:24" ht="14.25" customHeight="1" x14ac:dyDescent="0.3">
      <c r="L86" s="136"/>
      <c r="M86" s="136"/>
      <c r="N86" s="136"/>
      <c r="O86" s="136"/>
      <c r="V86" s="98"/>
      <c r="W86" s="72"/>
      <c r="X86" s="146"/>
    </row>
    <row r="87" spans="12:24" ht="14.25" customHeight="1" x14ac:dyDescent="0.3">
      <c r="L87" s="136"/>
      <c r="M87" s="136"/>
      <c r="N87" s="136"/>
      <c r="O87" s="136"/>
      <c r="V87" s="98"/>
      <c r="X87" s="139"/>
    </row>
    <row r="88" spans="12:24" ht="14.25" customHeight="1" x14ac:dyDescent="0.3">
      <c r="L88" s="136"/>
      <c r="M88" s="136"/>
      <c r="N88" s="136"/>
      <c r="O88" s="136"/>
      <c r="V88" s="98"/>
      <c r="X88" s="139"/>
    </row>
    <row r="89" spans="12:24" ht="14.25" customHeight="1" x14ac:dyDescent="0.3">
      <c r="L89" s="136"/>
      <c r="M89" s="136"/>
      <c r="N89" s="136"/>
      <c r="O89" s="136"/>
      <c r="V89" s="98"/>
      <c r="W89" s="72"/>
      <c r="X89" s="147"/>
    </row>
    <row r="90" spans="12:24" ht="14.25" customHeight="1" x14ac:dyDescent="0.3">
      <c r="L90" s="136"/>
      <c r="M90" s="136"/>
      <c r="N90" s="136"/>
      <c r="O90" s="136"/>
      <c r="V90" s="98"/>
      <c r="W90" s="72"/>
      <c r="X90" s="147"/>
    </row>
    <row r="91" spans="12:24" ht="14.25" customHeight="1" x14ac:dyDescent="0.3">
      <c r="L91" s="136"/>
      <c r="M91" s="136"/>
      <c r="N91" s="136"/>
      <c r="O91" s="136"/>
      <c r="V91" s="98"/>
      <c r="X91" s="139"/>
    </row>
    <row r="92" spans="12:24" ht="14.25" customHeight="1" x14ac:dyDescent="0.3">
      <c r="L92" s="136"/>
      <c r="M92" s="136"/>
      <c r="N92" s="136"/>
      <c r="O92" s="136"/>
      <c r="V92" s="98"/>
      <c r="W92" s="72"/>
      <c r="X92" s="147"/>
    </row>
    <row r="93" spans="12:24" ht="14.25" customHeight="1" x14ac:dyDescent="0.3">
      <c r="L93" s="136"/>
      <c r="M93" s="136"/>
      <c r="N93" s="136"/>
      <c r="O93" s="136"/>
      <c r="V93" s="98"/>
      <c r="W93" s="72"/>
      <c r="X93" s="147"/>
    </row>
    <row r="94" spans="12:24" ht="14.25" customHeight="1" x14ac:dyDescent="0.3">
      <c r="L94" s="136"/>
      <c r="M94" s="136"/>
      <c r="N94" s="136"/>
      <c r="O94" s="136"/>
      <c r="V94" s="98"/>
      <c r="W94" s="72"/>
      <c r="X94" s="138"/>
    </row>
    <row r="95" spans="12:24" ht="14.25" customHeight="1" x14ac:dyDescent="0.3">
      <c r="L95" s="136"/>
      <c r="M95" s="136"/>
      <c r="N95" s="136"/>
      <c r="O95" s="136"/>
      <c r="V95" s="98"/>
      <c r="W95" s="72"/>
      <c r="X95" s="139"/>
    </row>
    <row r="96" spans="12:24" ht="14.25" customHeight="1" x14ac:dyDescent="0.3">
      <c r="L96" s="136"/>
      <c r="M96" s="136"/>
      <c r="N96" s="136"/>
      <c r="O96" s="136"/>
      <c r="V96" s="98"/>
      <c r="W96" s="72"/>
      <c r="X96" s="132"/>
    </row>
    <row r="97" spans="12:24" ht="14.25" customHeight="1" x14ac:dyDescent="0.3">
      <c r="L97" s="136"/>
      <c r="M97" s="136"/>
      <c r="N97" s="136"/>
      <c r="O97" s="136"/>
      <c r="V97" s="98"/>
      <c r="W97" s="72"/>
      <c r="X97" s="132"/>
    </row>
    <row r="98" spans="12:24" ht="14.25" customHeight="1" x14ac:dyDescent="0.3">
      <c r="L98" s="136"/>
      <c r="M98" s="136"/>
      <c r="N98" s="136"/>
      <c r="O98" s="136"/>
      <c r="X98" s="132"/>
    </row>
    <row r="99" spans="12:24" ht="14.25" customHeight="1" x14ac:dyDescent="0.3">
      <c r="L99" s="136"/>
      <c r="M99" s="136"/>
      <c r="N99" s="136"/>
      <c r="O99" s="136"/>
      <c r="V99" s="98"/>
      <c r="X99" s="135"/>
    </row>
    <row r="100" spans="12:24" ht="14.25" customHeight="1" x14ac:dyDescent="0.3">
      <c r="L100" s="136"/>
      <c r="M100" s="136"/>
      <c r="N100" s="136"/>
      <c r="O100" s="136"/>
      <c r="V100" s="98"/>
      <c r="W100" s="72"/>
      <c r="X100" s="139"/>
    </row>
    <row r="101" spans="12:24" ht="14.25" customHeight="1" x14ac:dyDescent="0.3">
      <c r="L101" s="136"/>
      <c r="M101" s="136"/>
      <c r="N101" s="136"/>
      <c r="O101" s="136"/>
      <c r="V101" s="98"/>
      <c r="W101" s="72"/>
      <c r="X101" s="138"/>
    </row>
    <row r="102" spans="12:24" ht="14.25" customHeight="1" x14ac:dyDescent="0.3">
      <c r="L102" s="136"/>
      <c r="M102" s="136"/>
      <c r="N102" s="136"/>
      <c r="O102" s="136"/>
      <c r="V102" s="98"/>
      <c r="W102" s="72"/>
      <c r="X102" s="138"/>
    </row>
    <row r="103" spans="12:24" ht="14.25" customHeight="1" x14ac:dyDescent="0.3">
      <c r="L103" s="136"/>
      <c r="M103" s="136"/>
      <c r="N103" s="136"/>
      <c r="O103" s="136"/>
      <c r="V103" s="98"/>
      <c r="W103" s="72"/>
      <c r="X103" s="138"/>
    </row>
    <row r="104" spans="12:24" ht="14.25" customHeight="1" x14ac:dyDescent="0.3">
      <c r="L104" s="136"/>
      <c r="M104" s="136"/>
      <c r="N104" s="136"/>
      <c r="O104" s="136"/>
      <c r="V104" s="98"/>
      <c r="W104" s="72"/>
      <c r="X104" s="138"/>
    </row>
    <row r="105" spans="12:24" ht="14.25" customHeight="1" x14ac:dyDescent="0.3">
      <c r="L105" s="136"/>
      <c r="M105" s="136"/>
      <c r="N105" s="136"/>
      <c r="O105" s="136"/>
      <c r="V105" s="98"/>
      <c r="W105" s="72"/>
      <c r="X105" s="138"/>
    </row>
    <row r="106" spans="12:24" ht="14.25" customHeight="1" x14ac:dyDescent="0.3">
      <c r="L106" s="136"/>
      <c r="M106" s="136"/>
      <c r="N106" s="136"/>
      <c r="O106" s="136"/>
      <c r="V106" s="98"/>
      <c r="X106" s="135"/>
    </row>
    <row r="107" spans="12:24" ht="14.25" customHeight="1" x14ac:dyDescent="0.3">
      <c r="L107" s="136"/>
      <c r="M107" s="136"/>
      <c r="N107" s="136"/>
      <c r="O107" s="136"/>
      <c r="V107" s="98"/>
      <c r="W107" s="72"/>
      <c r="X107" s="138"/>
    </row>
    <row r="108" spans="12:24" ht="14.25" customHeight="1" x14ac:dyDescent="0.3">
      <c r="L108" s="136"/>
      <c r="M108" s="136"/>
      <c r="N108" s="136"/>
      <c r="O108" s="136"/>
      <c r="V108" s="98"/>
      <c r="W108" s="72"/>
      <c r="X108" s="138"/>
    </row>
    <row r="109" spans="12:24" ht="14.25" customHeight="1" x14ac:dyDescent="0.3">
      <c r="L109" s="136"/>
      <c r="M109" s="136"/>
      <c r="N109" s="136"/>
      <c r="O109" s="136"/>
      <c r="V109" s="98"/>
      <c r="W109" s="72"/>
      <c r="X109" s="138"/>
    </row>
    <row r="110" spans="12:24" ht="14.25" customHeight="1" x14ac:dyDescent="0.3">
      <c r="L110" s="136"/>
      <c r="M110" s="136"/>
      <c r="N110" s="136"/>
      <c r="O110" s="136"/>
      <c r="V110" s="98"/>
      <c r="X110" s="139"/>
    </row>
    <row r="111" spans="12:24" ht="14.25" customHeight="1" x14ac:dyDescent="0.3">
      <c r="L111" s="136"/>
      <c r="M111" s="136"/>
      <c r="N111" s="136"/>
      <c r="O111" s="136"/>
      <c r="V111" s="98"/>
      <c r="X111" s="139"/>
    </row>
    <row r="112" spans="12:24" ht="14.25" customHeight="1" x14ac:dyDescent="0.3">
      <c r="L112" s="136"/>
      <c r="M112" s="136"/>
      <c r="N112" s="136"/>
      <c r="O112" s="136"/>
      <c r="V112" s="98"/>
      <c r="W112" s="72"/>
      <c r="X112" s="138"/>
    </row>
    <row r="113" spans="12:24" ht="14.25" customHeight="1" x14ac:dyDescent="0.3">
      <c r="L113" s="136"/>
      <c r="M113" s="136"/>
      <c r="N113" s="136"/>
      <c r="O113" s="136"/>
      <c r="V113" s="98"/>
      <c r="W113" s="72"/>
      <c r="X113" s="138"/>
    </row>
    <row r="114" spans="12:24" ht="14.25" customHeight="1" x14ac:dyDescent="0.3">
      <c r="L114" s="136"/>
      <c r="M114" s="136"/>
      <c r="N114" s="136"/>
      <c r="O114" s="136"/>
      <c r="V114" s="98"/>
      <c r="X114" s="139"/>
    </row>
    <row r="115" spans="12:24" ht="14.25" customHeight="1" x14ac:dyDescent="0.3">
      <c r="L115" s="136"/>
      <c r="M115" s="136"/>
      <c r="N115" s="136"/>
      <c r="O115" s="136"/>
      <c r="V115" s="98"/>
      <c r="W115" s="72"/>
      <c r="X115" s="100"/>
    </row>
    <row r="116" spans="12:24" ht="14.25" customHeight="1" x14ac:dyDescent="0.3">
      <c r="L116" s="136"/>
      <c r="M116" s="136"/>
      <c r="N116" s="136"/>
      <c r="O116" s="136"/>
      <c r="V116" s="98"/>
      <c r="W116" s="72"/>
      <c r="X116" s="132"/>
    </row>
    <row r="117" spans="12:24" ht="14.25" customHeight="1" x14ac:dyDescent="0.3">
      <c r="L117" s="136"/>
      <c r="M117" s="136"/>
      <c r="N117" s="136"/>
      <c r="O117" s="136"/>
      <c r="V117" s="98"/>
      <c r="W117" s="72"/>
      <c r="X117" s="132"/>
    </row>
    <row r="118" spans="12:24" ht="14.25" customHeight="1" x14ac:dyDescent="0.3">
      <c r="L118" s="136"/>
      <c r="M118" s="136"/>
      <c r="N118" s="136"/>
      <c r="O118" s="136"/>
      <c r="X118" s="138"/>
    </row>
    <row r="119" spans="12:24" ht="14.25" customHeight="1" x14ac:dyDescent="0.3">
      <c r="L119" s="136"/>
      <c r="M119" s="136"/>
      <c r="N119" s="136"/>
      <c r="O119" s="136"/>
    </row>
    <row r="120" spans="12:24" ht="14.25" customHeight="1" x14ac:dyDescent="0.3">
      <c r="L120" s="136"/>
      <c r="M120" s="136"/>
      <c r="N120" s="136"/>
      <c r="O120" s="136"/>
    </row>
    <row r="121" spans="12:24" ht="14.25" customHeight="1" x14ac:dyDescent="0.3">
      <c r="L121" s="136"/>
      <c r="M121" s="136"/>
      <c r="N121" s="136"/>
      <c r="O121" s="136"/>
    </row>
    <row r="122" spans="12:24" ht="14.25" customHeight="1" x14ac:dyDescent="0.3">
      <c r="L122" s="136"/>
      <c r="M122" s="136"/>
      <c r="N122" s="136"/>
      <c r="O122" s="136"/>
    </row>
    <row r="123" spans="12:24" ht="14.25" customHeight="1" x14ac:dyDescent="0.3">
      <c r="L123" s="136"/>
      <c r="M123" s="136"/>
      <c r="N123" s="136"/>
      <c r="O123" s="136"/>
    </row>
    <row r="124" spans="12:24" ht="14.25" customHeight="1" x14ac:dyDescent="0.3">
      <c r="L124" s="136"/>
      <c r="M124" s="136"/>
      <c r="N124" s="136"/>
      <c r="O124" s="136"/>
    </row>
    <row r="125" spans="12:24" ht="14.25" customHeight="1" x14ac:dyDescent="0.3">
      <c r="L125" s="136"/>
      <c r="M125" s="136"/>
      <c r="N125" s="136"/>
      <c r="O125" s="136"/>
    </row>
    <row r="126" spans="12:24" ht="14.25" customHeight="1" x14ac:dyDescent="0.3">
      <c r="L126" s="136"/>
      <c r="M126" s="136"/>
      <c r="N126" s="136"/>
      <c r="O126" s="136"/>
    </row>
    <row r="127" spans="12:24" ht="14.25" customHeight="1" x14ac:dyDescent="0.3">
      <c r="L127" s="136"/>
      <c r="M127" s="136"/>
      <c r="N127" s="136"/>
      <c r="O127" s="136"/>
    </row>
    <row r="128" spans="12:24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4D72-B1B2-4CD2-BCD7-43C0BF783F8B}">
  <sheetPr codeName="Sheet9"/>
  <dimension ref="A1:T1000"/>
  <sheetViews>
    <sheetView topLeftCell="A1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6640625" customWidth="1"/>
    <col min="18" max="18" width="8.08203125" customWidth="1"/>
    <col min="19" max="19" width="7.75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200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201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202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203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57" t="s">
        <v>204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57" t="s">
        <v>205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57" t="s">
        <v>22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0" ht="14.25" customHeight="1" x14ac:dyDescent="0.35">
      <c r="A17" s="10"/>
      <c r="B17" s="10"/>
      <c r="C17" s="5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206</v>
      </c>
      <c r="O17" s="10"/>
      <c r="S17" s="10"/>
    </row>
    <row r="18" spans="1:20" ht="14.25" customHeight="1" x14ac:dyDescent="0.35">
      <c r="A18" s="10" t="s">
        <v>27</v>
      </c>
      <c r="B18" s="10" t="s">
        <v>7</v>
      </c>
      <c r="C18" s="57" t="s">
        <v>207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0" ht="14.25" customHeight="1" x14ac:dyDescent="0.35">
      <c r="A19" s="10" t="s">
        <v>29</v>
      </c>
      <c r="B19" s="10" t="s">
        <v>7</v>
      </c>
      <c r="C19" s="10" t="s">
        <v>208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101</v>
      </c>
      <c r="R22" s="72" t="s">
        <v>115</v>
      </c>
      <c r="S22" s="66">
        <v>1125</v>
      </c>
      <c r="T22" s="72" t="s">
        <v>103</v>
      </c>
    </row>
    <row r="23" spans="1:20" ht="14.25" customHeight="1" x14ac:dyDescent="0.35">
      <c r="A23" s="76">
        <v>1</v>
      </c>
      <c r="B23" s="54"/>
      <c r="C23" s="3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1710</v>
      </c>
      <c r="M23" s="78"/>
      <c r="N23" s="56"/>
      <c r="O23" s="78">
        <f>SUM(I23*L23)</f>
        <v>1710</v>
      </c>
      <c r="Q23" s="79">
        <v>7.6</v>
      </c>
      <c r="R23" s="79">
        <v>6.6</v>
      </c>
      <c r="S23" s="79">
        <v>6.9</v>
      </c>
      <c r="T23" s="79">
        <v>7</v>
      </c>
    </row>
    <row r="24" spans="1:20" ht="14.25" customHeight="1" x14ac:dyDescent="0.35">
      <c r="A24" s="76">
        <v>2</v>
      </c>
      <c r="B24" s="54"/>
      <c r="C24" s="30" t="s">
        <v>209</v>
      </c>
      <c r="D24" s="10"/>
      <c r="E24" s="10"/>
      <c r="F24" s="10"/>
      <c r="G24" s="10"/>
      <c r="H24" s="10"/>
      <c r="I24" s="54">
        <v>4</v>
      </c>
      <c r="J24" s="55" t="s">
        <v>49</v>
      </c>
      <c r="K24" s="10"/>
      <c r="L24" s="56">
        <v>177</v>
      </c>
      <c r="M24" s="78"/>
      <c r="N24" s="56"/>
      <c r="O24" s="78">
        <f t="shared" ref="O24" si="0">SUM(I24*L24)</f>
        <v>708</v>
      </c>
      <c r="T24" s="79">
        <v>5.9</v>
      </c>
    </row>
    <row r="25" spans="1:20" ht="14.25" customHeight="1" x14ac:dyDescent="0.35">
      <c r="A25" s="76"/>
      <c r="B25" s="54"/>
      <c r="C25" s="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</row>
    <row r="26" spans="1:20" ht="14.25" customHeight="1" x14ac:dyDescent="0.35">
      <c r="A26" s="76"/>
      <c r="B26" s="54"/>
      <c r="C26" s="6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</row>
    <row r="27" spans="1:20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</row>
    <row r="28" spans="1:20" ht="14.25" customHeight="1" x14ac:dyDescent="0.35">
      <c r="A28" s="71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20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0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0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2418</v>
      </c>
    </row>
    <row r="55" spans="1:15" ht="14.25" customHeight="1" x14ac:dyDescent="0.35">
      <c r="A55" s="10" t="s">
        <v>210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039D-649D-4559-9A45-540D323819E5}">
  <sheetPr codeName="Sheet10"/>
  <dimension ref="A1:AB1000"/>
  <sheetViews>
    <sheetView topLeftCell="A16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9" width="5.08203125" style="29" customWidth="1"/>
    <col min="20" max="21" width="5.1640625" style="1" bestFit="1" customWidth="1"/>
    <col min="22" max="22" width="6.9140625" style="1" customWidth="1"/>
    <col min="23" max="23" width="8.83203125" style="1" customWidth="1"/>
    <col min="24" max="24" width="7.75" style="1" customWidth="1"/>
    <col min="25" max="25" width="7.6640625" style="1" customWidth="1"/>
    <col min="26" max="26" width="6.33203125" style="1" bestFit="1" customWidth="1"/>
    <col min="27" max="27" width="7.75" style="1" customWidth="1"/>
    <col min="28" max="28" width="5.1640625" style="1" bestFit="1" customWidth="1"/>
    <col min="29" max="1034" width="12.83203125" style="1" customWidth="1"/>
    <col min="1035" max="1035" width="8.6640625" style="1" customWidth="1"/>
    <col min="1036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15" t="s">
        <v>5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211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212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213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214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215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216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217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8" ht="14.25" customHeight="1" x14ac:dyDescent="0.35">
      <c r="A17" s="6"/>
      <c r="B17" s="6"/>
      <c r="C17" s="7" t="s">
        <v>218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219</v>
      </c>
      <c r="O17" s="6"/>
      <c r="AA17" s="6"/>
    </row>
    <row r="18" spans="1:28" ht="14.25" customHeight="1" x14ac:dyDescent="0.35">
      <c r="A18" s="6" t="s">
        <v>27</v>
      </c>
      <c r="B18" s="6" t="s">
        <v>7</v>
      </c>
      <c r="C18" s="7" t="s">
        <v>220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8" ht="14.25" customHeight="1" x14ac:dyDescent="0.35">
      <c r="A19" s="6" t="s">
        <v>29</v>
      </c>
      <c r="B19" s="6" t="s">
        <v>7</v>
      </c>
      <c r="C19" s="7" t="s">
        <v>221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8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8" ht="14.25" customHeight="1" x14ac:dyDescent="0.35">
      <c r="A21" s="13" t="s">
        <v>31</v>
      </c>
      <c r="B21" s="216" t="s">
        <v>32</v>
      </c>
      <c r="C21" s="216"/>
      <c r="D21" s="216"/>
      <c r="E21" s="216"/>
      <c r="F21" s="216"/>
      <c r="G21" s="216"/>
      <c r="H21" s="216"/>
      <c r="I21" s="217" t="s">
        <v>33</v>
      </c>
      <c r="J21" s="217"/>
      <c r="K21" s="14"/>
      <c r="L21" s="15" t="s">
        <v>34</v>
      </c>
      <c r="M21" s="16"/>
      <c r="N21" s="217" t="s">
        <v>35</v>
      </c>
      <c r="O21" s="217"/>
    </row>
    <row r="22" spans="1:28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59" t="s">
        <v>36</v>
      </c>
      <c r="R22" s="159" t="s">
        <v>37</v>
      </c>
      <c r="S22" s="159" t="s">
        <v>38</v>
      </c>
      <c r="T22" s="17" t="s">
        <v>101</v>
      </c>
      <c r="U22" s="12">
        <v>1125</v>
      </c>
      <c r="V22" s="28" t="s">
        <v>40</v>
      </c>
      <c r="W22" s="17" t="s">
        <v>185</v>
      </c>
      <c r="X22" s="12">
        <v>1124</v>
      </c>
      <c r="Y22" s="12">
        <v>1024</v>
      </c>
      <c r="Z22" s="12" t="s">
        <v>187</v>
      </c>
      <c r="AB22" s="12"/>
    </row>
    <row r="23" spans="1:28" ht="14.25" customHeight="1" x14ac:dyDescent="0.35">
      <c r="A23" s="22">
        <v>1</v>
      </c>
      <c r="B23" s="20"/>
      <c r="C23" s="10" t="s">
        <v>190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160">
        <v>1845</v>
      </c>
      <c r="M23" s="27"/>
      <c r="N23" s="26"/>
      <c r="O23" s="27">
        <f t="shared" ref="O23:O28" si="0">SUM(I23*L23)</f>
        <v>1845</v>
      </c>
      <c r="Q23" s="29">
        <v>8.1999999999999993</v>
      </c>
      <c r="R23" s="29">
        <v>8.6</v>
      </c>
      <c r="S23" s="29">
        <v>8.5</v>
      </c>
      <c r="T23" s="29">
        <v>8.1</v>
      </c>
      <c r="U23" s="18"/>
      <c r="V23" s="29">
        <v>7.5</v>
      </c>
      <c r="W23" s="29">
        <v>7.6</v>
      </c>
      <c r="X23" s="29">
        <v>7.8</v>
      </c>
      <c r="Y23" s="28">
        <v>7.9</v>
      </c>
      <c r="Z23" s="29">
        <v>8</v>
      </c>
      <c r="AA23" s="29">
        <v>7.9</v>
      </c>
      <c r="AB23" s="29"/>
    </row>
    <row r="24" spans="1:28" ht="14.25" customHeight="1" x14ac:dyDescent="0.35">
      <c r="A24" s="22">
        <v>2</v>
      </c>
      <c r="B24" s="20"/>
      <c r="C24" s="10" t="s">
        <v>222</v>
      </c>
      <c r="D24" s="6"/>
      <c r="E24" s="6"/>
      <c r="F24" s="6"/>
      <c r="G24" s="6"/>
      <c r="H24" s="6"/>
      <c r="I24" s="20">
        <v>1</v>
      </c>
      <c r="J24" s="21" t="s">
        <v>49</v>
      </c>
      <c r="K24" s="6"/>
      <c r="L24" s="26">
        <v>482.4</v>
      </c>
      <c r="M24" s="27"/>
      <c r="N24" s="26"/>
      <c r="O24" s="27">
        <f t="shared" si="0"/>
        <v>482.4</v>
      </c>
      <c r="T24" s="29"/>
      <c r="U24" s="29">
        <v>7.2</v>
      </c>
      <c r="AA24" s="29">
        <v>7.5</v>
      </c>
    </row>
    <row r="25" spans="1:28" ht="14.25" customHeight="1" x14ac:dyDescent="0.35">
      <c r="A25" s="22">
        <v>3</v>
      </c>
      <c r="B25" s="20"/>
      <c r="C25" s="10" t="s">
        <v>52</v>
      </c>
      <c r="D25" s="6"/>
      <c r="E25" s="6"/>
      <c r="F25" s="6"/>
      <c r="G25" s="6"/>
      <c r="H25" s="6"/>
      <c r="I25" s="20">
        <v>1</v>
      </c>
      <c r="J25" s="21" t="s">
        <v>53</v>
      </c>
      <c r="K25" s="6"/>
      <c r="L25" s="160">
        <v>115</v>
      </c>
      <c r="M25" s="27"/>
      <c r="N25" s="26"/>
      <c r="O25" s="27">
        <f t="shared" si="0"/>
        <v>115</v>
      </c>
      <c r="AA25" s="29"/>
    </row>
    <row r="26" spans="1:28" ht="14.25" customHeight="1" x14ac:dyDescent="0.35">
      <c r="A26" s="22">
        <v>4</v>
      </c>
      <c r="B26" s="20"/>
      <c r="C26" s="10" t="s">
        <v>223</v>
      </c>
      <c r="D26" s="6"/>
      <c r="E26" s="6"/>
      <c r="F26" s="6"/>
      <c r="G26" s="6"/>
      <c r="H26" s="6"/>
      <c r="I26" s="20">
        <v>1</v>
      </c>
      <c r="J26" s="21" t="s">
        <v>84</v>
      </c>
      <c r="K26" s="6"/>
      <c r="L26" s="160">
        <v>160</v>
      </c>
      <c r="M26" s="27"/>
      <c r="N26" s="26"/>
      <c r="O26" s="27">
        <f t="shared" si="0"/>
        <v>160</v>
      </c>
      <c r="AA26" s="29"/>
    </row>
    <row r="27" spans="1:28" ht="15.5" customHeight="1" x14ac:dyDescent="0.35">
      <c r="A27" s="22">
        <v>5</v>
      </c>
      <c r="B27" s="20"/>
      <c r="C27" s="10" t="s">
        <v>224</v>
      </c>
      <c r="D27" s="6"/>
      <c r="E27" s="6"/>
      <c r="F27" s="6"/>
      <c r="G27" s="6"/>
      <c r="H27" s="6"/>
      <c r="I27" s="20">
        <v>1</v>
      </c>
      <c r="J27" s="21" t="s">
        <v>84</v>
      </c>
      <c r="K27" s="6"/>
      <c r="L27" s="160">
        <v>260</v>
      </c>
      <c r="M27" s="27"/>
      <c r="N27" s="26"/>
      <c r="O27" s="27">
        <f t="shared" si="0"/>
        <v>260</v>
      </c>
      <c r="AA27" s="29"/>
    </row>
    <row r="28" spans="1:28" ht="14.25" customHeight="1" x14ac:dyDescent="0.35">
      <c r="A28" s="22">
        <v>6</v>
      </c>
      <c r="B28" s="20"/>
      <c r="C28" s="10" t="s">
        <v>81</v>
      </c>
      <c r="D28" s="6"/>
      <c r="E28" s="6"/>
      <c r="F28" s="6"/>
      <c r="G28" s="6"/>
      <c r="H28" s="6"/>
      <c r="I28" s="20">
        <v>1</v>
      </c>
      <c r="J28" s="21" t="s">
        <v>55</v>
      </c>
      <c r="K28" s="6"/>
      <c r="L28" s="160">
        <v>275</v>
      </c>
      <c r="M28" s="27"/>
      <c r="N28" s="26"/>
      <c r="O28" s="27">
        <f t="shared" si="0"/>
        <v>275</v>
      </c>
      <c r="AA28" s="29"/>
    </row>
    <row r="29" spans="1:28" ht="14.25" customHeight="1" x14ac:dyDescent="0.35">
      <c r="A29" s="22"/>
      <c r="B29" s="20"/>
      <c r="C29" s="10"/>
      <c r="D29" s="6"/>
      <c r="E29" s="6"/>
      <c r="F29" s="6"/>
      <c r="G29" s="6"/>
      <c r="H29" s="6"/>
      <c r="I29" s="20"/>
      <c r="J29" s="21"/>
      <c r="K29" s="6"/>
      <c r="L29" s="160"/>
      <c r="M29" s="27"/>
      <c r="N29" s="26"/>
      <c r="O29" s="27"/>
    </row>
    <row r="30" spans="1:28" ht="14.25" customHeight="1" x14ac:dyDescent="0.35">
      <c r="A30" s="22"/>
      <c r="B30" s="20"/>
      <c r="C30" s="161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28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28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5.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" hidden="1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" hidden="1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3137.4</v>
      </c>
    </row>
    <row r="55" spans="1:15" ht="14.25" customHeight="1" x14ac:dyDescent="0.35">
      <c r="A55" s="6" t="s">
        <v>225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2C54-01C7-445D-8AA8-44C6B05A0DF1}">
  <sheetPr codeName="Sheet11"/>
  <dimension ref="A1:AI1003"/>
  <sheetViews>
    <sheetView topLeftCell="B10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226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214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227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8</v>
      </c>
      <c r="J23" s="55" t="s">
        <v>47</v>
      </c>
      <c r="K23" s="10"/>
      <c r="L23" s="77">
        <v>1710</v>
      </c>
      <c r="M23" s="78"/>
      <c r="N23" s="56"/>
      <c r="O23" s="78">
        <f>SUM(I23*L23)</f>
        <v>13680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30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5220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15</v>
      </c>
      <c r="J25" s="55" t="s">
        <v>49</v>
      </c>
      <c r="K25" s="10"/>
      <c r="L25" s="77">
        <v>207</v>
      </c>
      <c r="M25" s="78"/>
      <c r="N25" s="56"/>
      <c r="O25" s="78">
        <f t="shared" si="0"/>
        <v>3105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23465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228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thickBot="1" x14ac:dyDescent="0.4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V58" s="118">
        <f>SUM(V51:V57)</f>
        <v>195801.3</v>
      </c>
      <c r="W58" s="110"/>
      <c r="X58" s="109"/>
      <c r="Y58" s="130"/>
    </row>
    <row r="59" spans="1:29" ht="14.25" customHeight="1" thickTop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W64" s="127"/>
      <c r="X64" s="108"/>
      <c r="Y64" s="129"/>
    </row>
    <row r="65" spans="1:28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B632-EB09-49A5-B949-ECA50BDCE34F}">
  <sheetPr codeName="Sheet12"/>
  <dimension ref="A1:Z1000"/>
  <sheetViews>
    <sheetView topLeftCell="A16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6640625" customWidth="1"/>
    <col min="18" max="18" width="7" customWidth="1"/>
    <col min="19" max="19" width="7.6640625" customWidth="1"/>
    <col min="20" max="20" width="6.6640625" customWidth="1"/>
    <col min="21" max="21" width="8.5" customWidth="1"/>
    <col min="22" max="22" width="7.75" customWidth="1"/>
    <col min="23" max="23" width="8.4140625" customWidth="1"/>
    <col min="24" max="24" width="8.9140625" bestFit="1" customWidth="1"/>
    <col min="25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230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231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232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214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233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234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235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2" ht="14.25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236</v>
      </c>
      <c r="O17" s="10"/>
      <c r="V17" s="10"/>
    </row>
    <row r="18" spans="1:22" ht="14.25" customHeight="1" x14ac:dyDescent="0.35">
      <c r="A18" s="10" t="s">
        <v>27</v>
      </c>
      <c r="B18" s="10" t="s">
        <v>7</v>
      </c>
      <c r="C18" s="7" t="s">
        <v>237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2" ht="14.25" customHeight="1" x14ac:dyDescent="0.35">
      <c r="A19" s="10" t="s">
        <v>29</v>
      </c>
      <c r="B19" s="10" t="s">
        <v>7</v>
      </c>
      <c r="C19" s="7" t="s">
        <v>238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2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2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2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38</v>
      </c>
      <c r="S22" s="72" t="s">
        <v>101</v>
      </c>
      <c r="T22" s="66">
        <v>1125</v>
      </c>
    </row>
    <row r="23" spans="1:22" ht="14.25" customHeight="1" x14ac:dyDescent="0.35">
      <c r="A23" s="76">
        <v>1</v>
      </c>
      <c r="B23" s="54"/>
      <c r="C23" s="162" t="s">
        <v>126</v>
      </c>
      <c r="D23" s="10"/>
      <c r="E23" s="10"/>
      <c r="F23" s="10"/>
      <c r="G23" s="10"/>
      <c r="H23" s="10"/>
      <c r="I23" s="163">
        <v>1</v>
      </c>
      <c r="J23" s="164" t="s">
        <v>47</v>
      </c>
      <c r="K23" s="10"/>
      <c r="L23" s="56">
        <v>1845</v>
      </c>
      <c r="M23" s="78"/>
      <c r="N23" s="56"/>
      <c r="O23" s="78">
        <f>SUM(I23*L23)</f>
        <v>1845</v>
      </c>
      <c r="Q23" s="79">
        <v>8.1999999999999993</v>
      </c>
      <c r="R23" s="79">
        <v>8.5</v>
      </c>
      <c r="S23" s="79">
        <v>8.1</v>
      </c>
      <c r="T23">
        <v>7.3</v>
      </c>
      <c r="U23" s="79">
        <v>7.5</v>
      </c>
      <c r="V23" s="79">
        <v>7.8</v>
      </c>
    </row>
    <row r="24" spans="1:22" ht="14.25" customHeight="1" x14ac:dyDescent="0.35">
      <c r="A24" s="76">
        <v>2</v>
      </c>
      <c r="B24" s="54"/>
      <c r="C24" s="10" t="s">
        <v>58</v>
      </c>
      <c r="D24" s="10"/>
      <c r="E24" s="10"/>
      <c r="F24" s="10"/>
      <c r="G24" s="10"/>
      <c r="H24" s="10"/>
      <c r="I24" s="54">
        <v>1</v>
      </c>
      <c r="J24" s="55" t="s">
        <v>84</v>
      </c>
      <c r="K24" s="10"/>
      <c r="L24" s="56">
        <v>60</v>
      </c>
      <c r="M24" s="78"/>
      <c r="N24" s="56"/>
      <c r="O24" s="78">
        <f t="shared" ref="O24:O26" si="0">SUM(I24*L24)</f>
        <v>60</v>
      </c>
      <c r="T24">
        <v>7.2</v>
      </c>
      <c r="V24" s="79"/>
    </row>
    <row r="25" spans="1:22" ht="14.25" customHeight="1" x14ac:dyDescent="0.35">
      <c r="A25" s="76">
        <v>3</v>
      </c>
      <c r="B25" s="54"/>
      <c r="C25" s="10" t="s">
        <v>52</v>
      </c>
      <c r="D25" s="10"/>
      <c r="E25" s="10"/>
      <c r="F25" s="10"/>
      <c r="G25" s="10"/>
      <c r="H25" s="10"/>
      <c r="I25" s="54">
        <v>2</v>
      </c>
      <c r="J25" s="55" t="s">
        <v>53</v>
      </c>
      <c r="K25" s="10"/>
      <c r="L25" s="56">
        <v>115</v>
      </c>
      <c r="M25" s="78"/>
      <c r="N25" s="56"/>
      <c r="O25" s="78">
        <f t="shared" si="0"/>
        <v>230</v>
      </c>
      <c r="V25" s="79">
        <v>2.6</v>
      </c>
    </row>
    <row r="26" spans="1:22" ht="14.25" customHeight="1" x14ac:dyDescent="0.35">
      <c r="A26" s="76">
        <v>4</v>
      </c>
      <c r="B26" s="54"/>
      <c r="C26" s="10" t="s">
        <v>239</v>
      </c>
      <c r="D26" s="10"/>
      <c r="E26" s="10"/>
      <c r="F26" s="10"/>
      <c r="G26" s="10"/>
      <c r="H26" s="10"/>
      <c r="I26" s="54">
        <v>4</v>
      </c>
      <c r="J26" s="55" t="s">
        <v>51</v>
      </c>
      <c r="K26" s="10"/>
      <c r="L26" s="56">
        <v>62.5</v>
      </c>
      <c r="M26" s="78"/>
      <c r="N26" s="56"/>
      <c r="O26" s="78">
        <f t="shared" si="0"/>
        <v>250</v>
      </c>
      <c r="V26" s="79"/>
    </row>
    <row r="27" spans="1:22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54"/>
      <c r="J27" s="55"/>
      <c r="K27" s="10"/>
      <c r="L27" s="165"/>
      <c r="M27" s="78"/>
      <c r="N27" s="56"/>
      <c r="O27" s="78"/>
      <c r="V27" s="79"/>
    </row>
    <row r="28" spans="1:22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166"/>
      <c r="M28" s="78"/>
      <c r="N28" s="56"/>
      <c r="O28" s="167"/>
    </row>
    <row r="29" spans="1:22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2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2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2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26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26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26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26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26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6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6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6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6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6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Y42" s="132"/>
      <c r="Z42" s="132"/>
    </row>
    <row r="43" spans="1:26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Y43" s="132"/>
      <c r="Z43" s="132"/>
    </row>
    <row r="44" spans="1:26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Y44" s="132"/>
      <c r="Z44" s="132"/>
    </row>
    <row r="45" spans="1:26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Y45" s="132"/>
      <c r="Z45" s="132"/>
    </row>
    <row r="46" spans="1:26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Y46" s="132"/>
      <c r="Z46" s="132"/>
    </row>
    <row r="47" spans="1:26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Y47" s="132"/>
      <c r="Z47" s="132"/>
    </row>
    <row r="48" spans="1:26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V48" s="168"/>
    </row>
    <row r="49" spans="1:24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V49" s="168"/>
    </row>
    <row r="50" spans="1:24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V50" s="90"/>
    </row>
    <row r="51" spans="1:24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V51" s="90"/>
    </row>
    <row r="52" spans="1:24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V52" s="90"/>
    </row>
    <row r="53" spans="1:24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V53" s="90"/>
    </row>
    <row r="54" spans="1:24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2385</v>
      </c>
      <c r="V54" s="66"/>
      <c r="W54" s="169"/>
      <c r="X54" s="66"/>
    </row>
    <row r="55" spans="1:24" ht="14.25" customHeight="1" x14ac:dyDescent="0.35">
      <c r="A55" s="10" t="s">
        <v>240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90"/>
      <c r="W55" s="146"/>
      <c r="X55" s="132"/>
    </row>
    <row r="56" spans="1:24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68"/>
      <c r="W56" s="146"/>
      <c r="X56" s="132"/>
    </row>
    <row r="57" spans="1:24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X57" s="132"/>
    </row>
    <row r="58" spans="1:24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24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24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24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24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24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24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AF7A-4635-4AF5-9C60-D3978C242B0D}">
  <sheetPr codeName="Sheet13"/>
  <dimension ref="A1:AC1000"/>
  <sheetViews>
    <sheetView topLeftCell="A19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25" customWidth="1"/>
    <col min="18" max="18" width="9.6640625" customWidth="1"/>
    <col min="19" max="19" width="8.08203125" customWidth="1"/>
    <col min="20" max="20" width="6.9140625" customWidth="1"/>
    <col min="21" max="21" width="7" customWidth="1"/>
    <col min="22" max="22" width="7.33203125" customWidth="1"/>
    <col min="23" max="23" width="8.33203125" customWidth="1"/>
    <col min="24" max="24" width="6.33203125" customWidth="1"/>
    <col min="25" max="25" width="7.9140625" customWidth="1"/>
    <col min="26" max="26" width="6.75" customWidth="1"/>
    <col min="27" max="27" width="7.75" customWidth="1"/>
    <col min="28" max="1034" width="12.83203125" customWidth="1"/>
    <col min="1035" max="103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241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242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9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243</v>
      </c>
      <c r="O17" s="10"/>
      <c r="AA17" s="10"/>
    </row>
    <row r="18" spans="1:29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9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9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163</v>
      </c>
      <c r="S22" s="72" t="s">
        <v>38</v>
      </c>
      <c r="T22" s="72" t="s">
        <v>101</v>
      </c>
      <c r="U22" s="72" t="s">
        <v>164</v>
      </c>
      <c r="V22" s="72" t="s">
        <v>117</v>
      </c>
      <c r="W22" s="72" t="s">
        <v>40</v>
      </c>
      <c r="X22" s="72" t="s">
        <v>165</v>
      </c>
      <c r="Z22" t="s">
        <v>45</v>
      </c>
      <c r="AA22" t="s">
        <v>166</v>
      </c>
    </row>
    <row r="23" spans="1:29" ht="14.25" customHeight="1" x14ac:dyDescent="0.35">
      <c r="A23" s="76">
        <v>1</v>
      </c>
      <c r="B23" s="54"/>
      <c r="C23" s="30" t="s">
        <v>190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79">
        <v>8.1</v>
      </c>
      <c r="R23" s="79"/>
      <c r="S23" s="79">
        <v>8.5</v>
      </c>
      <c r="T23" s="79">
        <v>8.1</v>
      </c>
      <c r="U23" s="79">
        <v>7.5</v>
      </c>
      <c r="V23" s="79">
        <v>7.5</v>
      </c>
      <c r="W23" s="79">
        <v>7.6</v>
      </c>
      <c r="Y23" s="79">
        <v>7.9</v>
      </c>
      <c r="Z23" s="79">
        <v>8</v>
      </c>
      <c r="AA23" s="79">
        <v>7.9</v>
      </c>
      <c r="AB23" s="79">
        <v>8.3000000000000007</v>
      </c>
      <c r="AC23" s="79">
        <v>8.5</v>
      </c>
    </row>
    <row r="24" spans="1:29" ht="14.25" customHeight="1" x14ac:dyDescent="0.35">
      <c r="A24" s="76">
        <v>2</v>
      </c>
      <c r="B24" s="54"/>
      <c r="C24" s="30" t="s">
        <v>244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405</v>
      </c>
      <c r="M24" s="78"/>
      <c r="N24" s="56"/>
      <c r="O24" s="78">
        <f t="shared" ref="O24:O27" si="0">SUM(I24*L24)</f>
        <v>405</v>
      </c>
      <c r="R24" s="79">
        <v>7.5</v>
      </c>
      <c r="S24" s="79"/>
      <c r="W24" s="79">
        <v>7.3</v>
      </c>
      <c r="AA24" s="79"/>
    </row>
    <row r="25" spans="1:29" ht="14.25" customHeight="1" x14ac:dyDescent="0.35">
      <c r="A25" s="76">
        <v>3</v>
      </c>
      <c r="B25" s="54"/>
      <c r="C25" s="10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120</v>
      </c>
      <c r="M25" s="78"/>
      <c r="N25" s="56"/>
      <c r="O25" s="78">
        <f t="shared" si="0"/>
        <v>120</v>
      </c>
      <c r="Q25" s="79">
        <v>5.8</v>
      </c>
      <c r="S25" s="79"/>
      <c r="U25" s="79"/>
      <c r="W25" s="79"/>
      <c r="X25" s="79"/>
      <c r="AA25" s="79"/>
    </row>
    <row r="26" spans="1:29" ht="14.25" customHeight="1" x14ac:dyDescent="0.35">
      <c r="A26" s="76">
        <v>4</v>
      </c>
      <c r="B26" s="54"/>
      <c r="C26" s="6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297</v>
      </c>
      <c r="M26" s="78"/>
      <c r="N26" s="56"/>
      <c r="O26" s="78">
        <f t="shared" si="0"/>
        <v>297</v>
      </c>
      <c r="Q26" s="79">
        <v>13.5</v>
      </c>
      <c r="S26" s="79">
        <v>14</v>
      </c>
      <c r="U26" s="79"/>
      <c r="W26" s="79"/>
      <c r="X26" s="79">
        <v>13</v>
      </c>
      <c r="AA26" s="79"/>
    </row>
    <row r="27" spans="1:29" ht="14.25" customHeight="1" x14ac:dyDescent="0.35">
      <c r="A27" s="76">
        <v>5</v>
      </c>
      <c r="B27" s="54"/>
      <c r="C27" s="6" t="s">
        <v>167</v>
      </c>
      <c r="D27" s="6"/>
      <c r="E27" s="6"/>
      <c r="F27" s="6"/>
      <c r="G27" s="6"/>
      <c r="H27" s="6"/>
      <c r="I27" s="54">
        <v>1</v>
      </c>
      <c r="J27" s="55" t="s">
        <v>84</v>
      </c>
      <c r="K27" s="10"/>
      <c r="L27" s="56">
        <v>160</v>
      </c>
      <c r="M27" s="78"/>
      <c r="N27" s="56"/>
      <c r="O27" s="78">
        <f t="shared" si="0"/>
        <v>160</v>
      </c>
      <c r="S27" s="79"/>
      <c r="U27">
        <v>32</v>
      </c>
      <c r="AA27" s="79"/>
    </row>
    <row r="28" spans="1:29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S28" s="79"/>
      <c r="U28" s="79"/>
      <c r="AA28" s="79">
        <v>31</v>
      </c>
    </row>
    <row r="29" spans="1:29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AA29" s="79"/>
    </row>
    <row r="30" spans="1:2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X30" s="79"/>
      <c r="Y30" s="79"/>
    </row>
    <row r="31" spans="1:2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29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2804.5</v>
      </c>
    </row>
    <row r="55" spans="1:15" ht="14.25" customHeight="1" x14ac:dyDescent="0.35">
      <c r="A55" s="10" t="s">
        <v>245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206D-1ECD-4F50-8AE7-E6321D93C97D}">
  <sheetPr codeName="Sheet14"/>
  <dimension ref="A1:AG1000"/>
  <sheetViews>
    <sheetView topLeftCell="A44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247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242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252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1845</v>
      </c>
      <c r="M23" s="78"/>
      <c r="N23" s="56"/>
      <c r="O23" s="78">
        <f>SUM(I23*L23)</f>
        <v>1845</v>
      </c>
      <c r="P23" s="79"/>
      <c r="Q23" s="79"/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>
        <v>2</v>
      </c>
      <c r="B24" s="54"/>
      <c r="C24" s="10" t="s">
        <v>82</v>
      </c>
      <c r="D24" s="10"/>
      <c r="E24" s="10"/>
      <c r="F24" s="10"/>
      <c r="G24" s="10"/>
      <c r="H24" s="10"/>
      <c r="I24" s="54">
        <v>10</v>
      </c>
      <c r="J24" s="55" t="s">
        <v>51</v>
      </c>
      <c r="K24" s="10"/>
      <c r="L24" s="56">
        <v>62.5</v>
      </c>
      <c r="M24" s="78"/>
      <c r="N24" s="56"/>
      <c r="O24" s="78">
        <f t="shared" ref="O24:O26" si="0">SUM(I24*L24)</f>
        <v>625</v>
      </c>
      <c r="P24" s="79"/>
      <c r="Q24" s="79"/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>
        <v>3</v>
      </c>
      <c r="B25" s="54"/>
      <c r="C25" s="156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115</v>
      </c>
      <c r="M25" s="78"/>
      <c r="N25" s="56"/>
      <c r="O25" s="78">
        <f t="shared" si="0"/>
        <v>115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>
        <v>4</v>
      </c>
      <c r="B26" s="54"/>
      <c r="C26" s="57" t="s">
        <v>257</v>
      </c>
      <c r="D26" s="10"/>
      <c r="E26" s="10"/>
      <c r="F26" s="10"/>
      <c r="G26" s="10"/>
      <c r="H26" s="10"/>
      <c r="I26" s="54">
        <v>1</v>
      </c>
      <c r="J26" s="55" t="s">
        <v>84</v>
      </c>
      <c r="K26" s="10"/>
      <c r="L26" s="56">
        <v>200</v>
      </c>
      <c r="M26" s="78"/>
      <c r="N26" s="56"/>
      <c r="O26" s="78">
        <f t="shared" si="0"/>
        <v>200</v>
      </c>
      <c r="P26" s="79"/>
      <c r="Q26" s="79" t="s">
        <v>258</v>
      </c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2785</v>
      </c>
    </row>
    <row r="55" spans="1:15" ht="14.25" customHeight="1" x14ac:dyDescent="0.35">
      <c r="A55" s="10" t="s">
        <v>259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CD1D-0DFD-4AA8-A592-E18F635A4EB0}">
  <sheetPr codeName="Sheet15"/>
  <dimension ref="A1:AI1003"/>
  <sheetViews>
    <sheetView topLeftCell="A13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260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261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265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20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3480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10</v>
      </c>
      <c r="J25" s="55" t="s">
        <v>49</v>
      </c>
      <c r="K25" s="10"/>
      <c r="L25" s="77">
        <v>207</v>
      </c>
      <c r="M25" s="78"/>
      <c r="N25" s="56"/>
      <c r="O25" s="78">
        <f t="shared" si="0"/>
        <v>2070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14560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266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thickBot="1" x14ac:dyDescent="0.4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V59" s="118">
        <f>SUM(V51:V58)</f>
        <v>210361.3</v>
      </c>
      <c r="W59" s="131"/>
      <c r="X59" s="109"/>
      <c r="Y59" s="99"/>
    </row>
    <row r="60" spans="1:29" ht="14.25" customHeight="1" thickTop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W64" s="127"/>
      <c r="X64" s="108"/>
      <c r="Y64" s="129"/>
    </row>
    <row r="65" spans="1:28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B986-CC17-45D3-A9BA-D8C32A5E6528}">
  <sheetPr codeName="Sheet16"/>
  <dimension ref="A1:T1000"/>
  <sheetViews>
    <sheetView topLeftCell="A22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75" customWidth="1"/>
    <col min="18" max="18" width="8.9140625" bestFit="1" customWidth="1"/>
    <col min="19" max="19" width="5.9140625" bestFit="1" customWidth="1"/>
    <col min="20" max="1025" width="12.83203125" customWidth="1"/>
    <col min="1026" max="102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268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269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270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271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272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273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274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0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275</v>
      </c>
      <c r="O17" s="10"/>
      <c r="R17" s="10"/>
    </row>
    <row r="18" spans="1:20" ht="14.25" customHeight="1" x14ac:dyDescent="0.35">
      <c r="A18" s="10" t="s">
        <v>27</v>
      </c>
      <c r="B18" s="10" t="s">
        <v>7</v>
      </c>
      <c r="C18" s="7" t="s">
        <v>276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0" ht="14.25" customHeight="1" x14ac:dyDescent="0.35">
      <c r="A19" s="10" t="s">
        <v>29</v>
      </c>
      <c r="B19" s="10" t="s">
        <v>7</v>
      </c>
      <c r="C19" s="10" t="s">
        <v>277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37</v>
      </c>
      <c r="R22" s="102" t="s">
        <v>101</v>
      </c>
      <c r="S22" s="80" t="s">
        <v>102</v>
      </c>
      <c r="T22" s="80" t="s">
        <v>34</v>
      </c>
    </row>
    <row r="23" spans="1:20" ht="14.25" customHeight="1" x14ac:dyDescent="0.35">
      <c r="A23" s="76">
        <v>1</v>
      </c>
      <c r="B23" s="54"/>
      <c r="C23" s="48" t="s">
        <v>278</v>
      </c>
      <c r="D23" s="6"/>
      <c r="E23" s="6"/>
      <c r="F23" s="6"/>
      <c r="G23" s="6"/>
      <c r="H23" s="6"/>
      <c r="I23" s="172">
        <v>1</v>
      </c>
      <c r="J23" s="154" t="s">
        <v>47</v>
      </c>
      <c r="K23" s="51"/>
      <c r="L23" s="173">
        <v>1912.5</v>
      </c>
      <c r="M23" s="78"/>
      <c r="N23" s="56"/>
      <c r="O23" s="78">
        <f>SUM(I23*L23)</f>
        <v>1912.5</v>
      </c>
      <c r="Q23" s="79">
        <v>8.9</v>
      </c>
      <c r="R23" s="174">
        <v>8.5</v>
      </c>
      <c r="S23" s="79">
        <v>7.5</v>
      </c>
      <c r="T23" s="79">
        <v>7.7</v>
      </c>
    </row>
    <row r="24" spans="1:20" ht="14.25" customHeight="1" x14ac:dyDescent="0.35">
      <c r="A24" s="76">
        <v>2</v>
      </c>
      <c r="B24" s="54"/>
      <c r="C24" s="49" t="s">
        <v>279</v>
      </c>
      <c r="D24" s="6"/>
      <c r="E24" s="6"/>
      <c r="F24" s="6"/>
      <c r="G24" s="6"/>
      <c r="H24" s="6"/>
      <c r="I24" s="172">
        <v>1</v>
      </c>
      <c r="J24" s="154" t="s">
        <v>49</v>
      </c>
      <c r="K24" s="51"/>
      <c r="L24" s="173">
        <v>405</v>
      </c>
      <c r="M24" s="78"/>
      <c r="N24" s="56"/>
      <c r="O24" s="78">
        <f t="shared" ref="O24:O28" si="0">SUM(I24*L24)</f>
        <v>405</v>
      </c>
      <c r="Q24" s="79">
        <v>7.5</v>
      </c>
      <c r="R24" s="174"/>
      <c r="S24" s="79">
        <v>7.2</v>
      </c>
      <c r="T24" s="79">
        <v>7.5</v>
      </c>
    </row>
    <row r="25" spans="1:20" ht="14.25" customHeight="1" x14ac:dyDescent="0.35">
      <c r="A25" s="76">
        <v>3</v>
      </c>
      <c r="B25" s="54"/>
      <c r="C25" s="49" t="s">
        <v>52</v>
      </c>
      <c r="D25" s="6"/>
      <c r="E25" s="6"/>
      <c r="F25" s="6"/>
      <c r="G25" s="6"/>
      <c r="H25" s="6"/>
      <c r="I25" s="172">
        <v>1</v>
      </c>
      <c r="J25" s="154" t="s">
        <v>53</v>
      </c>
      <c r="K25" s="51"/>
      <c r="L25" s="173">
        <v>120</v>
      </c>
      <c r="M25" s="78"/>
      <c r="N25" s="56"/>
      <c r="O25" s="78">
        <f t="shared" si="0"/>
        <v>120</v>
      </c>
      <c r="Q25" s="79">
        <v>14.9</v>
      </c>
      <c r="R25" s="175"/>
      <c r="S25" s="79">
        <v>7.2</v>
      </c>
      <c r="T25" s="79"/>
    </row>
    <row r="26" spans="1:20" ht="14.25" customHeight="1" x14ac:dyDescent="0.35">
      <c r="A26" s="76">
        <v>4</v>
      </c>
      <c r="B26" s="54"/>
      <c r="C26" s="49" t="s">
        <v>280</v>
      </c>
      <c r="D26" s="10"/>
      <c r="E26" s="10"/>
      <c r="F26" s="10"/>
      <c r="G26" s="10"/>
      <c r="H26" s="10"/>
      <c r="I26" s="172">
        <v>1</v>
      </c>
      <c r="J26" s="154" t="s">
        <v>55</v>
      </c>
      <c r="K26" s="51"/>
      <c r="L26" s="173">
        <v>327.8</v>
      </c>
      <c r="M26" s="78"/>
      <c r="N26" s="56"/>
      <c r="O26" s="78">
        <f t="shared" si="0"/>
        <v>327.8</v>
      </c>
      <c r="R26" s="175">
        <v>14.9</v>
      </c>
      <c r="S26" s="79"/>
      <c r="T26" s="79">
        <v>283.8</v>
      </c>
    </row>
    <row r="27" spans="1:20" ht="14.25" customHeight="1" x14ac:dyDescent="0.35">
      <c r="A27" s="76">
        <v>5</v>
      </c>
      <c r="B27" s="54"/>
      <c r="C27" s="49" t="s">
        <v>281</v>
      </c>
      <c r="D27" s="6"/>
      <c r="E27" s="6"/>
      <c r="F27" s="6"/>
      <c r="G27" s="6"/>
      <c r="H27" s="6"/>
      <c r="I27" s="153">
        <v>1</v>
      </c>
      <c r="J27" s="154" t="s">
        <v>57</v>
      </c>
      <c r="K27" s="51"/>
      <c r="L27" s="173">
        <v>60</v>
      </c>
      <c r="M27" s="78"/>
      <c r="N27" s="56"/>
      <c r="O27" s="78">
        <f t="shared" si="0"/>
        <v>60</v>
      </c>
      <c r="R27" s="174"/>
      <c r="S27" s="79"/>
      <c r="T27" s="79">
        <v>35</v>
      </c>
    </row>
    <row r="28" spans="1:20" ht="14.25" customHeight="1" x14ac:dyDescent="0.35">
      <c r="A28" s="76">
        <v>6</v>
      </c>
      <c r="B28" s="54"/>
      <c r="C28" s="51" t="s">
        <v>282</v>
      </c>
      <c r="D28" s="10"/>
      <c r="E28" s="10"/>
      <c r="F28" s="10"/>
      <c r="G28" s="10"/>
      <c r="H28" s="10"/>
      <c r="I28" s="153">
        <v>1</v>
      </c>
      <c r="J28" s="154" t="s">
        <v>87</v>
      </c>
      <c r="K28" s="51"/>
      <c r="L28" s="173">
        <v>60</v>
      </c>
      <c r="M28" s="78"/>
      <c r="N28" s="56"/>
      <c r="O28" s="78">
        <f t="shared" si="0"/>
        <v>60</v>
      </c>
      <c r="R28" s="174"/>
      <c r="S28" s="79"/>
      <c r="T28" s="79"/>
    </row>
    <row r="29" spans="1:20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51"/>
      <c r="L29" s="173"/>
      <c r="M29" s="78"/>
      <c r="N29" s="56"/>
      <c r="O29" s="78"/>
      <c r="R29" s="174"/>
      <c r="S29" s="79"/>
      <c r="T29" s="79">
        <v>2.5</v>
      </c>
    </row>
    <row r="30" spans="1:20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51"/>
      <c r="L30" s="173"/>
      <c r="M30" s="78"/>
      <c r="N30" s="56"/>
      <c r="O30" s="78"/>
      <c r="R30" s="174"/>
      <c r="S30" s="79"/>
    </row>
    <row r="31" spans="1:20" ht="14.25" customHeight="1" x14ac:dyDescent="0.35">
      <c r="A31" s="76"/>
      <c r="B31" s="54"/>
      <c r="C31" s="51"/>
      <c r="D31" s="10"/>
      <c r="E31" s="10"/>
      <c r="F31" s="10"/>
      <c r="G31" s="10"/>
      <c r="H31" s="10"/>
      <c r="I31" s="153"/>
      <c r="J31" s="154"/>
      <c r="K31" s="51"/>
      <c r="L31" s="173"/>
      <c r="M31" s="78"/>
      <c r="N31" s="56"/>
      <c r="O31" s="78"/>
      <c r="R31" s="174"/>
      <c r="S31" s="79"/>
    </row>
    <row r="32" spans="1:20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153"/>
      <c r="J32" s="154"/>
      <c r="K32" s="51"/>
      <c r="L32" s="173"/>
      <c r="M32" s="78"/>
      <c r="N32" s="56"/>
      <c r="O32" s="78"/>
      <c r="R32" s="174"/>
      <c r="S32" s="79"/>
    </row>
    <row r="33" spans="1:19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172"/>
      <c r="J33" s="154"/>
      <c r="K33" s="51"/>
      <c r="L33" s="173"/>
      <c r="M33" s="78"/>
      <c r="N33" s="56"/>
      <c r="O33" s="78"/>
      <c r="R33" s="174"/>
      <c r="S33" s="79"/>
    </row>
    <row r="34" spans="1:19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153"/>
      <c r="J34" s="154"/>
      <c r="K34" s="51"/>
      <c r="L34" s="173"/>
      <c r="M34" s="78"/>
      <c r="N34" s="56"/>
      <c r="O34" s="78"/>
      <c r="R34" s="79"/>
    </row>
    <row r="35" spans="1:19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153"/>
      <c r="J35" s="154"/>
      <c r="K35" s="51"/>
      <c r="L35" s="173"/>
      <c r="M35" s="78"/>
      <c r="N35" s="56"/>
      <c r="O35" s="78"/>
      <c r="R35" s="79"/>
    </row>
    <row r="36" spans="1:19" ht="14.25" customHeight="1" x14ac:dyDescent="0.35">
      <c r="A36" s="76"/>
      <c r="B36" s="54"/>
      <c r="C36" s="10"/>
      <c r="D36" s="10"/>
      <c r="E36" s="10"/>
      <c r="F36" s="10"/>
      <c r="G36" s="10"/>
      <c r="H36" s="10"/>
      <c r="I36" s="153"/>
      <c r="J36" s="154"/>
      <c r="K36" s="51"/>
      <c r="L36" s="173"/>
      <c r="M36" s="78"/>
      <c r="N36" s="56"/>
      <c r="O36" s="78"/>
    </row>
    <row r="37" spans="1:19" ht="14.25" customHeight="1" x14ac:dyDescent="0.35">
      <c r="A37" s="76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8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8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8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8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8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R53" s="79">
        <v>3063.1</v>
      </c>
    </row>
    <row r="54" spans="1:18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2885.3</v>
      </c>
      <c r="R54" s="79">
        <v>2885.3</v>
      </c>
    </row>
    <row r="55" spans="1:18" ht="14.25" customHeight="1" thickBot="1" x14ac:dyDescent="0.4">
      <c r="A55" s="51" t="s">
        <v>283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R55" s="176">
        <f>SUM(R53:R54)</f>
        <v>5948.4</v>
      </c>
    </row>
    <row r="56" spans="1:18" ht="14.25" customHeight="1" thickTop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8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8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8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8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8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8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8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8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A1BF-DA77-488D-A5A7-A8C8D287B2A2}">
  <sheetPr codeName="Sheet17"/>
  <dimension ref="A1:AI1003"/>
  <sheetViews>
    <sheetView topLeftCell="C43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284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285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286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6</v>
      </c>
      <c r="J23" s="55" t="s">
        <v>47</v>
      </c>
      <c r="K23" s="10"/>
      <c r="L23" s="77">
        <v>1710</v>
      </c>
      <c r="M23" s="78"/>
      <c r="N23" s="56"/>
      <c r="O23" s="78">
        <f>SUM(I23*L23)</f>
        <v>10260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20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3480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10</v>
      </c>
      <c r="J25" s="55" t="s">
        <v>49</v>
      </c>
      <c r="K25" s="10"/>
      <c r="L25" s="77">
        <v>207</v>
      </c>
      <c r="M25" s="78"/>
      <c r="N25" s="56"/>
      <c r="O25" s="78">
        <f t="shared" si="0"/>
        <v>2070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17270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287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thickBot="1" x14ac:dyDescent="0.4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V61" s="118">
        <f>SUM(V51:V60)</f>
        <v>197131.3</v>
      </c>
      <c r="W61" s="127"/>
      <c r="X61" s="108"/>
      <c r="Y61" s="129"/>
    </row>
    <row r="62" spans="1:29" ht="14.25" customHeight="1" thickTop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W64" s="127"/>
      <c r="X64" s="108"/>
      <c r="Y64" s="129"/>
    </row>
    <row r="65" spans="1:28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4A18-1765-4AF3-AB21-22743018FAEF}">
  <sheetPr codeName="Sheet18"/>
  <dimension ref="A1:Y1000"/>
  <sheetViews>
    <sheetView topLeftCell="A10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6.4140625" style="1" customWidth="1"/>
    <col min="18" max="18" width="6.9140625" style="1" customWidth="1"/>
    <col min="19" max="20" width="5.4140625" style="1" customWidth="1"/>
    <col min="21" max="21" width="6.08203125" style="1" bestFit="1" customWidth="1"/>
    <col min="22" max="22" width="7" style="1" bestFit="1" customWidth="1"/>
    <col min="23" max="23" width="5.4140625" style="29" customWidth="1"/>
    <col min="24" max="25" width="5.4140625" style="1" customWidth="1"/>
    <col min="26" max="1031" width="12.83203125" style="1" customWidth="1"/>
    <col min="1032" max="1032" width="8.6640625" style="1" customWidth="1"/>
    <col min="1033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15" t="s">
        <v>5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90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289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92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290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94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95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96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5" ht="14.25" customHeight="1" x14ac:dyDescent="0.35">
      <c r="A17" s="6"/>
      <c r="B17" s="6"/>
      <c r="C17" s="7" t="s">
        <v>97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291</v>
      </c>
      <c r="O17" s="6"/>
      <c r="X17" s="6"/>
    </row>
    <row r="18" spans="1:25" ht="14.25" customHeight="1" x14ac:dyDescent="0.35">
      <c r="A18" s="6" t="s">
        <v>27</v>
      </c>
      <c r="B18" s="6" t="s">
        <v>7</v>
      </c>
      <c r="C18" s="7" t="s">
        <v>99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5" ht="14.25" customHeight="1" x14ac:dyDescent="0.35">
      <c r="A19" s="6" t="s">
        <v>29</v>
      </c>
      <c r="B19" s="6" t="s">
        <v>7</v>
      </c>
      <c r="C19" s="7" t="s">
        <v>100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5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5" ht="14.25" customHeight="1" x14ac:dyDescent="0.35">
      <c r="A21" s="13" t="s">
        <v>31</v>
      </c>
      <c r="B21" s="216" t="s">
        <v>32</v>
      </c>
      <c r="C21" s="216"/>
      <c r="D21" s="216"/>
      <c r="E21" s="216"/>
      <c r="F21" s="216"/>
      <c r="G21" s="216"/>
      <c r="H21" s="216"/>
      <c r="I21" s="217" t="s">
        <v>33</v>
      </c>
      <c r="J21" s="217"/>
      <c r="K21" s="14"/>
      <c r="L21" s="15" t="s">
        <v>34</v>
      </c>
      <c r="M21" s="16"/>
      <c r="N21" s="217" t="s">
        <v>35</v>
      </c>
      <c r="O21" s="217"/>
    </row>
    <row r="22" spans="1:25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7" t="s">
        <v>36</v>
      </c>
      <c r="R22" s="17" t="s">
        <v>38</v>
      </c>
      <c r="S22" s="52" t="s">
        <v>101</v>
      </c>
      <c r="T22" s="52" t="s">
        <v>102</v>
      </c>
      <c r="U22" s="52">
        <v>1125</v>
      </c>
      <c r="V22" s="52" t="s">
        <v>103</v>
      </c>
      <c r="W22" s="53" t="s">
        <v>45</v>
      </c>
      <c r="X22" s="12" t="s">
        <v>104</v>
      </c>
      <c r="Y22" s="12" t="s">
        <v>105</v>
      </c>
    </row>
    <row r="23" spans="1:25" ht="14.25" customHeight="1" x14ac:dyDescent="0.35">
      <c r="A23" s="22">
        <v>1</v>
      </c>
      <c r="B23" s="20"/>
      <c r="C23" s="10" t="s">
        <v>292</v>
      </c>
      <c r="D23" s="10"/>
      <c r="E23" s="10"/>
      <c r="F23" s="10"/>
      <c r="G23" s="10"/>
      <c r="H23" s="10"/>
      <c r="I23" s="54">
        <v>2</v>
      </c>
      <c r="J23" s="55" t="s">
        <v>49</v>
      </c>
      <c r="K23" s="10"/>
      <c r="L23" s="56">
        <v>219</v>
      </c>
      <c r="M23" s="27"/>
      <c r="N23" s="26"/>
      <c r="O23" s="27">
        <f>SUM(I23*L23)</f>
        <v>438</v>
      </c>
      <c r="R23" s="29">
        <v>7.8</v>
      </c>
      <c r="S23" s="29"/>
      <c r="T23" s="29">
        <v>7.1</v>
      </c>
      <c r="U23" s="29">
        <v>7.5</v>
      </c>
      <c r="V23" s="29">
        <v>7.6</v>
      </c>
      <c r="X23" s="29">
        <v>7.9</v>
      </c>
      <c r="Y23" s="29">
        <v>7.9</v>
      </c>
    </row>
    <row r="24" spans="1:25" ht="14.25" customHeight="1" x14ac:dyDescent="0.35">
      <c r="A24" s="22">
        <v>2</v>
      </c>
      <c r="B24" s="20"/>
      <c r="C24" s="6" t="s">
        <v>81</v>
      </c>
      <c r="D24" s="6"/>
      <c r="E24" s="6"/>
      <c r="F24" s="6"/>
      <c r="G24" s="6"/>
      <c r="H24" s="6"/>
      <c r="I24" s="20">
        <v>1</v>
      </c>
      <c r="J24" s="21" t="s">
        <v>55</v>
      </c>
      <c r="K24" s="6"/>
      <c r="L24" s="26">
        <v>264</v>
      </c>
      <c r="M24" s="27"/>
      <c r="N24" s="26"/>
      <c r="O24" s="27">
        <f t="shared" ref="O24:O25" si="0">SUM(I24*L24)</f>
        <v>264</v>
      </c>
      <c r="Q24" s="29">
        <v>7.3</v>
      </c>
      <c r="U24" s="29">
        <v>7.2</v>
      </c>
      <c r="V24" s="29">
        <v>7.2</v>
      </c>
      <c r="X24" s="29">
        <v>7.5</v>
      </c>
      <c r="Y24" s="29">
        <v>7.8</v>
      </c>
    </row>
    <row r="25" spans="1:25" ht="14.25" customHeight="1" x14ac:dyDescent="0.35">
      <c r="A25" s="22">
        <v>3</v>
      </c>
      <c r="B25" s="20"/>
      <c r="C25" s="6" t="s">
        <v>293</v>
      </c>
      <c r="D25" s="6"/>
      <c r="E25" s="6"/>
      <c r="F25" s="6"/>
      <c r="G25" s="6"/>
      <c r="H25" s="6"/>
      <c r="I25" s="20">
        <v>1</v>
      </c>
      <c r="J25" s="55" t="s">
        <v>84</v>
      </c>
      <c r="K25" s="10"/>
      <c r="L25" s="26">
        <v>175</v>
      </c>
      <c r="M25" s="27"/>
      <c r="N25" s="26"/>
      <c r="O25" s="27">
        <f t="shared" si="0"/>
        <v>175</v>
      </c>
      <c r="U25" s="29"/>
      <c r="V25" s="29">
        <v>115</v>
      </c>
      <c r="X25" s="29"/>
      <c r="Y25" s="29"/>
    </row>
    <row r="26" spans="1:25" ht="14.25" customHeight="1" x14ac:dyDescent="0.35">
      <c r="A26" s="22"/>
      <c r="B26" s="20"/>
      <c r="C26" s="57"/>
      <c r="D26" s="6"/>
      <c r="E26" s="6"/>
      <c r="F26" s="6"/>
      <c r="G26" s="6"/>
      <c r="H26" s="6"/>
      <c r="I26" s="20"/>
      <c r="J26" s="21"/>
      <c r="K26" s="6"/>
      <c r="L26" s="26"/>
      <c r="M26" s="27"/>
      <c r="N26" s="26"/>
      <c r="O26" s="27"/>
      <c r="Q26" s="29">
        <v>12</v>
      </c>
      <c r="U26" s="29"/>
      <c r="V26" s="29"/>
      <c r="X26" s="29"/>
      <c r="Y26" s="29"/>
    </row>
    <row r="27" spans="1:25" ht="14.25" customHeight="1" x14ac:dyDescent="0.35">
      <c r="A27" s="22"/>
      <c r="B27" s="20"/>
      <c r="C27" s="6"/>
      <c r="D27" s="6"/>
      <c r="E27" s="6"/>
      <c r="F27" s="6"/>
      <c r="G27" s="6"/>
      <c r="H27" s="6"/>
      <c r="I27" s="20"/>
      <c r="J27" s="21"/>
      <c r="K27" s="6"/>
      <c r="L27" s="26"/>
      <c r="M27" s="27"/>
      <c r="N27" s="26"/>
      <c r="O27" s="27"/>
      <c r="U27" s="29">
        <v>35</v>
      </c>
      <c r="V27" s="29"/>
      <c r="X27" s="29"/>
      <c r="Y27" s="29"/>
    </row>
    <row r="28" spans="1:25" ht="14.25" customHeight="1" x14ac:dyDescent="0.35">
      <c r="A28" s="22"/>
      <c r="B28" s="20"/>
      <c r="C28" s="51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  <c r="U28" s="29">
        <v>60</v>
      </c>
      <c r="V28" s="29"/>
      <c r="X28" s="29"/>
      <c r="Y28" s="29"/>
    </row>
    <row r="29" spans="1:25" ht="14.25" customHeight="1" x14ac:dyDescent="0.35">
      <c r="A29" s="19"/>
      <c r="B29" s="20"/>
      <c r="C29" s="6"/>
      <c r="D29" s="6"/>
      <c r="E29" s="6"/>
      <c r="F29" s="6"/>
      <c r="G29" s="6"/>
      <c r="H29" s="6"/>
      <c r="I29" s="20"/>
      <c r="J29" s="21"/>
      <c r="K29" s="6"/>
      <c r="L29" s="26"/>
      <c r="M29" s="27"/>
      <c r="N29" s="26"/>
      <c r="O29" s="27"/>
      <c r="U29" s="29"/>
      <c r="V29" s="29"/>
      <c r="X29" s="29"/>
      <c r="Y29" s="29"/>
    </row>
    <row r="30" spans="1:25" ht="14.25" customHeight="1" x14ac:dyDescent="0.35">
      <c r="A30" s="19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  <c r="U30" s="29"/>
      <c r="V30" s="29"/>
      <c r="X30" s="29"/>
      <c r="Y30" s="29"/>
    </row>
    <row r="31" spans="1:25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  <c r="U31" s="29"/>
      <c r="V31" s="29"/>
      <c r="X31" s="29"/>
      <c r="Y31" s="29"/>
    </row>
    <row r="32" spans="1:25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  <c r="U32" s="29"/>
      <c r="V32" s="29"/>
      <c r="X32" s="29"/>
      <c r="Y32" s="29"/>
    </row>
    <row r="33" spans="1:2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  <c r="U33" s="29"/>
      <c r="V33" s="29"/>
      <c r="X33" s="29"/>
      <c r="Y33" s="29"/>
    </row>
    <row r="34" spans="1:2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  <c r="U34" s="29"/>
      <c r="V34" s="29"/>
      <c r="X34" s="29"/>
      <c r="Y34" s="29"/>
    </row>
    <row r="35" spans="1:2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  <c r="U35" s="29"/>
      <c r="V35" s="29"/>
      <c r="X35" s="29"/>
      <c r="Y35" s="29"/>
    </row>
    <row r="36" spans="1:2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  <c r="U36" s="29"/>
      <c r="V36" s="29"/>
      <c r="X36" s="29"/>
      <c r="Y36" s="29"/>
    </row>
    <row r="37" spans="1:25" ht="13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  <c r="U37" s="29"/>
      <c r="V37" s="29"/>
      <c r="X37" s="29"/>
      <c r="Y37" s="29"/>
    </row>
    <row r="38" spans="1:2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  <c r="U38" s="29"/>
      <c r="V38" s="29"/>
      <c r="X38" s="29"/>
      <c r="Y38" s="29"/>
    </row>
    <row r="39" spans="1:2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  <c r="U39" s="29"/>
      <c r="V39" s="29"/>
      <c r="X39" s="29"/>
      <c r="Y39" s="29"/>
    </row>
    <row r="40" spans="1:2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  <c r="U40" s="29"/>
      <c r="V40" s="29"/>
      <c r="X40" s="29"/>
      <c r="Y40" s="29"/>
    </row>
    <row r="41" spans="1:2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  <c r="U41" s="29"/>
      <c r="V41" s="29"/>
      <c r="X41" s="29"/>
      <c r="Y41" s="29"/>
    </row>
    <row r="42" spans="1:2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  <c r="U42" s="29"/>
      <c r="V42" s="29"/>
      <c r="X42" s="29"/>
      <c r="Y42" s="29"/>
    </row>
    <row r="43" spans="1:2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  <c r="U43" s="29"/>
      <c r="V43" s="29"/>
      <c r="X43" s="29"/>
      <c r="Y43" s="29"/>
    </row>
    <row r="44" spans="1:2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  <c r="U44" s="29"/>
      <c r="V44" s="29"/>
      <c r="X44" s="29"/>
      <c r="Y44" s="29"/>
    </row>
    <row r="45" spans="1:2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  <c r="U45" s="29"/>
      <c r="V45" s="29"/>
      <c r="X45" s="29"/>
      <c r="Y45" s="29"/>
    </row>
    <row r="46" spans="1:2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  <c r="U46" s="29"/>
      <c r="V46" s="29"/>
      <c r="X46" s="29"/>
      <c r="Y46" s="29"/>
    </row>
    <row r="47" spans="1:2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  <c r="U47" s="29"/>
      <c r="V47" s="29"/>
      <c r="X47" s="29"/>
      <c r="Y47" s="29"/>
    </row>
    <row r="48" spans="1:2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  <c r="U48" s="29"/>
      <c r="V48" s="29"/>
      <c r="X48" s="29"/>
      <c r="Y48" s="29"/>
    </row>
    <row r="49" spans="1:2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  <c r="U49" s="29"/>
      <c r="V49" s="29"/>
      <c r="X49" s="29"/>
      <c r="Y49" s="29"/>
    </row>
    <row r="50" spans="1:2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  <c r="U50" s="29"/>
      <c r="V50" s="29"/>
      <c r="X50" s="29"/>
      <c r="Y50" s="29"/>
    </row>
    <row r="51" spans="1:2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  <c r="U51" s="29"/>
      <c r="V51" s="29"/>
      <c r="X51" s="29"/>
      <c r="Y51" s="29"/>
    </row>
    <row r="52" spans="1:2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  <c r="U52" s="29"/>
      <c r="V52" s="29"/>
      <c r="X52" s="29"/>
      <c r="Y52" s="29"/>
    </row>
    <row r="53" spans="1:2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  <c r="U53" s="29"/>
      <c r="V53" s="29"/>
      <c r="X53" s="29"/>
      <c r="Y53" s="29"/>
    </row>
    <row r="54" spans="1:25" ht="13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877</v>
      </c>
    </row>
    <row r="55" spans="1:25" ht="14.25" customHeight="1" x14ac:dyDescent="0.35">
      <c r="A55" s="6" t="s">
        <v>294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2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2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2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2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2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2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2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2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2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675F-42BE-4ED8-9BAB-47FEC3DA0802}">
  <sheetPr codeName="Sheet19"/>
  <dimension ref="A1:AI1003"/>
  <sheetViews>
    <sheetView topLeftCell="A38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295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296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297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2</v>
      </c>
      <c r="J23" s="55" t="s">
        <v>47</v>
      </c>
      <c r="K23" s="10"/>
      <c r="L23" s="77">
        <v>1710</v>
      </c>
      <c r="M23" s="78"/>
      <c r="N23" s="56"/>
      <c r="O23" s="78">
        <f>SUM(I23*L23)</f>
        <v>3420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298</v>
      </c>
      <c r="D24" s="6"/>
      <c r="E24" s="6"/>
      <c r="F24" s="6"/>
      <c r="G24" s="6"/>
      <c r="H24" s="6"/>
      <c r="I24" s="20">
        <v>9</v>
      </c>
      <c r="J24" s="55" t="s">
        <v>49</v>
      </c>
      <c r="K24" s="10"/>
      <c r="L24" s="77">
        <v>214.6</v>
      </c>
      <c r="M24" s="78"/>
      <c r="N24" s="56"/>
      <c r="O24" s="78">
        <f t="shared" ref="O24:O25" si="0">SUM(I24*L24)</f>
        <v>1931.3999999999999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5</v>
      </c>
      <c r="J25" s="55" t="s">
        <v>49</v>
      </c>
      <c r="K25" s="10"/>
      <c r="L25" s="77">
        <v>207</v>
      </c>
      <c r="M25" s="78"/>
      <c r="N25" s="56"/>
      <c r="O25" s="78">
        <f t="shared" si="0"/>
        <v>1035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/>
      <c r="B26" s="54"/>
      <c r="C26" s="6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6386.4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299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300</v>
      </c>
      <c r="V61" s="146">
        <v>6386.4</v>
      </c>
      <c r="W61" s="127"/>
      <c r="X61" s="108"/>
      <c r="Y61" s="129"/>
    </row>
    <row r="62" spans="1:29" ht="14.25" customHeight="1" thickBo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V62" s="118">
        <f>SUM(V51:V61)</f>
        <v>203517.69999999998</v>
      </c>
      <c r="W62" s="131"/>
      <c r="X62" s="109"/>
      <c r="Y62" s="133"/>
    </row>
    <row r="63" spans="1:29" ht="14.25" customHeight="1" thickTop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W64" s="127"/>
      <c r="X64" s="108"/>
      <c r="Y64" s="129"/>
    </row>
    <row r="65" spans="1:28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9EF0-75E8-4D18-8E64-9C068F582376}">
  <sheetPr codeName="Sheet20"/>
  <dimension ref="A1:AE1000"/>
  <sheetViews>
    <sheetView topLeftCell="A10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33203125" style="1" customWidth="1"/>
    <col min="18" max="18" width="7.1640625" style="1" customWidth="1"/>
    <col min="19" max="19" width="7.33203125" style="1" customWidth="1"/>
    <col min="20" max="20" width="5.5" style="1" customWidth="1"/>
    <col min="21" max="22" width="5.1640625" style="1" bestFit="1" customWidth="1"/>
    <col min="23" max="23" width="5.1640625" style="12" bestFit="1" customWidth="1"/>
    <col min="24" max="25" width="5.1640625" style="1" bestFit="1" customWidth="1"/>
    <col min="26" max="26" width="4.4140625" style="1" bestFit="1" customWidth="1"/>
    <col min="27" max="27" width="5.1640625" style="1" bestFit="1" customWidth="1"/>
    <col min="28" max="28" width="6.08203125" style="1" bestFit="1" customWidth="1"/>
    <col min="29" max="30" width="5.1640625" style="1" bestFit="1" customWidth="1"/>
    <col min="31" max="31" width="7.75" style="1" customWidth="1"/>
    <col min="32" max="1038" width="12.83203125" style="1" customWidth="1"/>
    <col min="1039" max="1039" width="8.6640625" style="1" customWidth="1"/>
    <col min="1040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15" t="s">
        <v>5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7" t="s">
        <v>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301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12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302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22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31" ht="14.25" customHeight="1" x14ac:dyDescent="0.35">
      <c r="A17" s="6"/>
      <c r="B17" s="6"/>
      <c r="C17" s="7" t="s">
        <v>24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303</v>
      </c>
      <c r="O17" s="6"/>
      <c r="AE17" s="6"/>
    </row>
    <row r="18" spans="1:31" ht="14.25" customHeight="1" x14ac:dyDescent="0.35">
      <c r="A18" s="6" t="s">
        <v>27</v>
      </c>
      <c r="B18" s="6" t="s">
        <v>7</v>
      </c>
      <c r="C18" s="7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1" ht="14.25" customHeight="1" x14ac:dyDescent="0.35">
      <c r="A19" s="6" t="s">
        <v>29</v>
      </c>
      <c r="B19" s="6" t="s">
        <v>7</v>
      </c>
      <c r="C19" s="7" t="s">
        <v>30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1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1" ht="14.25" customHeight="1" x14ac:dyDescent="0.35">
      <c r="A21" s="13" t="s">
        <v>31</v>
      </c>
      <c r="B21" s="216" t="s">
        <v>32</v>
      </c>
      <c r="C21" s="216"/>
      <c r="D21" s="216"/>
      <c r="E21" s="216"/>
      <c r="F21" s="216"/>
      <c r="G21" s="216"/>
      <c r="H21" s="216"/>
      <c r="I21" s="217" t="s">
        <v>33</v>
      </c>
      <c r="J21" s="217"/>
      <c r="K21" s="14"/>
      <c r="L21" s="15" t="s">
        <v>34</v>
      </c>
      <c r="M21" s="16"/>
      <c r="N21" s="217" t="s">
        <v>35</v>
      </c>
      <c r="O21" s="217"/>
      <c r="Q21" s="17" t="s">
        <v>36</v>
      </c>
      <c r="R21" s="17" t="s">
        <v>37</v>
      </c>
      <c r="S21" s="17" t="s">
        <v>38</v>
      </c>
      <c r="T21" s="17" t="s">
        <v>39</v>
      </c>
      <c r="U21" s="1">
        <v>1125</v>
      </c>
      <c r="V21" s="1">
        <v>1025</v>
      </c>
      <c r="W21" s="17" t="s">
        <v>40</v>
      </c>
      <c r="Y21" s="17" t="s">
        <v>41</v>
      </c>
      <c r="Z21" s="17" t="s">
        <v>42</v>
      </c>
      <c r="AA21" s="17" t="s">
        <v>43</v>
      </c>
      <c r="AB21" s="17"/>
      <c r="AC21" s="18" t="s">
        <v>44</v>
      </c>
      <c r="AD21" s="18" t="s">
        <v>45</v>
      </c>
    </row>
    <row r="22" spans="1:31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31" ht="14.25" customHeight="1" x14ac:dyDescent="0.35">
      <c r="A23" s="22">
        <v>1</v>
      </c>
      <c r="B23" s="20"/>
      <c r="C23" s="23" t="s">
        <v>126</v>
      </c>
      <c r="D23" s="6"/>
      <c r="E23" s="6"/>
      <c r="F23" s="6"/>
      <c r="G23" s="6"/>
      <c r="H23" s="6"/>
      <c r="I23" s="24">
        <v>10</v>
      </c>
      <c r="J23" s="25" t="s">
        <v>47</v>
      </c>
      <c r="K23" s="6"/>
      <c r="L23" s="26">
        <v>1710</v>
      </c>
      <c r="M23" s="27"/>
      <c r="N23" s="26"/>
      <c r="O23" s="27">
        <f>SUM(I23*L23)</f>
        <v>17100</v>
      </c>
      <c r="Q23" s="28">
        <v>7.6</v>
      </c>
      <c r="R23" s="29">
        <v>8.1</v>
      </c>
      <c r="S23" s="29">
        <v>7.6</v>
      </c>
      <c r="T23" s="29">
        <v>6.6</v>
      </c>
      <c r="U23" s="29">
        <v>6.8</v>
      </c>
      <c r="V23" s="29">
        <v>6.9</v>
      </c>
      <c r="W23" s="28">
        <v>7</v>
      </c>
      <c r="X23" s="29">
        <v>6.9</v>
      </c>
      <c r="Y23" s="29">
        <v>7.2</v>
      </c>
      <c r="AA23" s="29">
        <v>7.3</v>
      </c>
      <c r="AB23" s="29"/>
      <c r="AD23" s="29">
        <v>7.4</v>
      </c>
      <c r="AE23" s="29">
        <v>7.3</v>
      </c>
    </row>
    <row r="24" spans="1:31" ht="14.25" customHeight="1" x14ac:dyDescent="0.35">
      <c r="A24" s="22">
        <v>2</v>
      </c>
      <c r="B24" s="20"/>
      <c r="C24" s="6" t="s">
        <v>48</v>
      </c>
      <c r="D24" s="6"/>
      <c r="E24" s="6"/>
      <c r="F24" s="6"/>
      <c r="G24" s="6"/>
      <c r="H24" s="6"/>
      <c r="I24" s="20">
        <v>10</v>
      </c>
      <c r="J24" s="21" t="s">
        <v>49</v>
      </c>
      <c r="K24" s="6"/>
      <c r="L24" s="26">
        <v>214.6</v>
      </c>
      <c r="M24" s="27"/>
      <c r="N24" s="26"/>
      <c r="O24" s="27">
        <f t="shared" ref="O24:O26" si="0">SUM(I24*L24)</f>
        <v>2146</v>
      </c>
      <c r="AA24" s="29">
        <v>5.8</v>
      </c>
      <c r="AB24" s="29"/>
      <c r="AC24" s="29">
        <v>6</v>
      </c>
      <c r="AD24" s="29"/>
      <c r="AE24" s="29">
        <v>5.8</v>
      </c>
    </row>
    <row r="25" spans="1:31" ht="14.25" customHeight="1" x14ac:dyDescent="0.35">
      <c r="A25" s="22">
        <v>3</v>
      </c>
      <c r="B25" s="20"/>
      <c r="C25" s="6" t="s">
        <v>52</v>
      </c>
      <c r="D25" s="6"/>
      <c r="E25" s="6"/>
      <c r="F25" s="6"/>
      <c r="G25" s="6"/>
      <c r="H25" s="6"/>
      <c r="I25" s="20">
        <v>4</v>
      </c>
      <c r="J25" s="21" t="s">
        <v>53</v>
      </c>
      <c r="K25" s="6"/>
      <c r="L25" s="26">
        <v>115</v>
      </c>
      <c r="M25" s="27"/>
      <c r="N25" s="26"/>
      <c r="O25" s="27">
        <f t="shared" si="0"/>
        <v>460</v>
      </c>
      <c r="AD25" s="29"/>
      <c r="AE25" s="29">
        <v>2.2999999999999998</v>
      </c>
    </row>
    <row r="26" spans="1:31" ht="14.25" customHeight="1" x14ac:dyDescent="0.35">
      <c r="A26" s="22">
        <v>4</v>
      </c>
      <c r="B26" s="20"/>
      <c r="C26" s="30" t="s">
        <v>54</v>
      </c>
      <c r="D26" s="6"/>
      <c r="E26" s="6"/>
      <c r="F26" s="6"/>
      <c r="G26" s="6"/>
      <c r="H26" s="6"/>
      <c r="I26" s="20">
        <v>1</v>
      </c>
      <c r="J26" s="21" t="s">
        <v>55</v>
      </c>
      <c r="K26" s="6"/>
      <c r="L26" s="26">
        <v>435</v>
      </c>
      <c r="M26" s="27"/>
      <c r="N26" s="26"/>
      <c r="O26" s="27">
        <f t="shared" si="0"/>
        <v>435</v>
      </c>
      <c r="AD26" s="29"/>
    </row>
    <row r="27" spans="1:31" ht="14.25" customHeight="1" x14ac:dyDescent="0.35">
      <c r="A27" s="22"/>
      <c r="B27" s="20"/>
      <c r="C27" s="10"/>
      <c r="D27" s="6"/>
      <c r="E27" s="6"/>
      <c r="F27" s="6"/>
      <c r="G27" s="6"/>
      <c r="H27" s="6"/>
      <c r="I27" s="20"/>
      <c r="J27" s="21"/>
      <c r="K27" s="6"/>
      <c r="L27" s="31"/>
      <c r="M27" s="27"/>
      <c r="N27" s="26"/>
      <c r="O27" s="27"/>
      <c r="AB27" s="29">
        <v>11.9</v>
      </c>
      <c r="AD27" s="29"/>
    </row>
    <row r="28" spans="1:31" ht="14.25" customHeight="1" x14ac:dyDescent="0.35">
      <c r="A28" s="22"/>
      <c r="B28" s="20"/>
      <c r="C28" s="30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</row>
    <row r="29" spans="1:31" ht="14.25" customHeight="1" x14ac:dyDescent="0.35">
      <c r="A29" s="32"/>
      <c r="B29" s="20"/>
      <c r="C29" s="33"/>
      <c r="D29" s="6"/>
      <c r="E29" s="6"/>
      <c r="F29" s="6"/>
      <c r="G29" s="6"/>
      <c r="H29" s="6"/>
      <c r="I29" s="20"/>
      <c r="J29" s="21"/>
      <c r="K29" s="6"/>
      <c r="L29" s="34"/>
      <c r="M29" s="27"/>
      <c r="N29" s="26"/>
      <c r="O29" s="27"/>
    </row>
    <row r="30" spans="1:31" ht="14.25" customHeight="1" x14ac:dyDescent="0.35">
      <c r="A30" s="22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31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31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20141</v>
      </c>
    </row>
    <row r="55" spans="1:15" ht="14.25" customHeight="1" x14ac:dyDescent="0.35">
      <c r="A55" s="6" t="s">
        <v>304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8797-7C15-456A-8407-8D673B826A6A}">
  <sheetPr codeName="Sheet21"/>
  <dimension ref="A1:AG1000"/>
  <sheetViews>
    <sheetView topLeftCell="A35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305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306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307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1845</v>
      </c>
      <c r="M23" s="78"/>
      <c r="N23" s="56"/>
      <c r="O23" s="78">
        <f>SUM(I23*L23)</f>
        <v>1845</v>
      </c>
      <c r="P23" s="79"/>
      <c r="Q23" s="79">
        <v>8.1999999999999993</v>
      </c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>
        <v>2</v>
      </c>
      <c r="B24" s="54"/>
      <c r="C24" s="10" t="s">
        <v>48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270.10000000000002</v>
      </c>
      <c r="M24" s="78"/>
      <c r="N24" s="56"/>
      <c r="O24" s="78">
        <f t="shared" ref="O24:O26" si="0">SUM(I24*L24)</f>
        <v>270.10000000000002</v>
      </c>
      <c r="P24" s="79"/>
      <c r="Q24" s="79">
        <v>7.3</v>
      </c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>
        <v>3</v>
      </c>
      <c r="B25" s="54"/>
      <c r="C25" s="156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115</v>
      </c>
      <c r="M25" s="78"/>
      <c r="N25" s="56"/>
      <c r="O25" s="78">
        <f t="shared" si="0"/>
        <v>115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>
        <v>4</v>
      </c>
      <c r="B26" s="54"/>
      <c r="C26" s="157" t="s">
        <v>308</v>
      </c>
      <c r="D26" s="10"/>
      <c r="E26" s="10"/>
      <c r="F26" s="10"/>
      <c r="G26" s="10"/>
      <c r="H26" s="10"/>
      <c r="I26" s="54">
        <v>12</v>
      </c>
      <c r="J26" s="55" t="s">
        <v>84</v>
      </c>
      <c r="K26" s="10"/>
      <c r="L26" s="56">
        <v>45</v>
      </c>
      <c r="M26" s="78"/>
      <c r="N26" s="56"/>
      <c r="O26" s="78">
        <f t="shared" si="0"/>
        <v>540</v>
      </c>
      <c r="P26" s="79"/>
      <c r="Q26" s="79"/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2770.1</v>
      </c>
    </row>
    <row r="55" spans="1:15" ht="14.25" customHeight="1" x14ac:dyDescent="0.35">
      <c r="A55" s="10" t="s">
        <v>309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B1C0-1126-4DF2-B8E0-C554ED6AE10F}">
  <sheetPr codeName="Sheet22"/>
  <dimension ref="A1:AI1003"/>
  <sheetViews>
    <sheetView topLeftCell="A37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310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306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311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298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8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>
        <v>6</v>
      </c>
      <c r="B28" s="54"/>
      <c r="C28" s="6" t="s">
        <v>197</v>
      </c>
      <c r="D28" s="6"/>
      <c r="E28" s="6"/>
      <c r="F28" s="6"/>
      <c r="G28" s="6"/>
      <c r="H28" s="6"/>
      <c r="I28" s="20">
        <v>1</v>
      </c>
      <c r="J28" s="55" t="s">
        <v>55</v>
      </c>
      <c r="K28" s="10"/>
      <c r="L28" s="56">
        <v>1050</v>
      </c>
      <c r="M28" s="78"/>
      <c r="N28" s="56"/>
      <c r="O28" s="78">
        <f t="shared" si="0"/>
        <v>1050</v>
      </c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15935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312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8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thickBot="1" x14ac:dyDescent="0.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V64" s="118">
        <f>SUM(V51:V63)</f>
        <v>203452.69999999998</v>
      </c>
      <c r="W64" s="127"/>
      <c r="X64" s="108"/>
      <c r="Y64" s="129"/>
    </row>
    <row r="65" spans="1:28" ht="14.25" customHeight="1" thickTop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23E4-D809-422F-A1C0-F8EAF49564D5}">
  <sheetPr codeName="Sheet23"/>
  <dimension ref="A1:S1000"/>
  <sheetViews>
    <sheetView topLeftCell="A13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6.33203125" customWidth="1"/>
    <col min="19" max="19" width="7.75" style="79" customWidth="1"/>
    <col min="20" max="1026" width="12.83203125" customWidth="1"/>
    <col min="1027" max="1027" width="8.6640625" customWidth="1"/>
  </cols>
  <sheetData>
    <row r="1" spans="1:17" ht="14.25" customHeight="1" x14ac:dyDescent="0.3"/>
    <row r="2" spans="1:17" ht="29.25" customHeight="1" x14ac:dyDescent="0.55000000000000004">
      <c r="O2" s="58" t="s">
        <v>0</v>
      </c>
    </row>
    <row r="3" spans="1:17" ht="14.25" customHeight="1" x14ac:dyDescent="0.35">
      <c r="O3" s="59" t="s">
        <v>1</v>
      </c>
    </row>
    <row r="4" spans="1:17" ht="14.25" customHeight="1" x14ac:dyDescent="0.35">
      <c r="O4" s="59" t="s">
        <v>2</v>
      </c>
    </row>
    <row r="5" spans="1:17" ht="14.25" customHeight="1" x14ac:dyDescent="0.35">
      <c r="O5" s="59" t="s">
        <v>3</v>
      </c>
    </row>
    <row r="6" spans="1:17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7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7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7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7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7" ht="14.25" customHeight="1" x14ac:dyDescent="0.35">
      <c r="A11" s="10" t="s">
        <v>6</v>
      </c>
      <c r="B11" s="10" t="s">
        <v>7</v>
      </c>
      <c r="C11" s="7" t="s">
        <v>315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316</v>
      </c>
      <c r="O11" s="10"/>
    </row>
    <row r="12" spans="1:17" ht="14.25" customHeight="1" x14ac:dyDescent="0.35">
      <c r="A12" s="10" t="s">
        <v>11</v>
      </c>
      <c r="B12" s="10" t="s">
        <v>7</v>
      </c>
      <c r="C12" s="7" t="s">
        <v>317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306</v>
      </c>
      <c r="O12" s="10"/>
    </row>
    <row r="13" spans="1:17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7" ht="14.25" customHeight="1" x14ac:dyDescent="0.35">
      <c r="A14" s="10" t="s">
        <v>16</v>
      </c>
      <c r="B14" s="10" t="s">
        <v>7</v>
      </c>
      <c r="C14" s="57" t="s">
        <v>318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7" ht="14.25" customHeight="1" x14ac:dyDescent="0.35">
      <c r="A15" s="10"/>
      <c r="B15" s="10"/>
      <c r="C15" s="57" t="s">
        <v>319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7" ht="14.25" customHeight="1" x14ac:dyDescent="0.35">
      <c r="A16" s="10"/>
      <c r="B16" s="10"/>
      <c r="C16" s="57" t="s">
        <v>320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t="s">
        <v>321</v>
      </c>
      <c r="O16" s="10"/>
      <c r="Q16" s="10" t="s">
        <v>322</v>
      </c>
    </row>
    <row r="17" spans="1:19" ht="14.25" customHeight="1" x14ac:dyDescent="0.35">
      <c r="A17" s="10"/>
      <c r="B17" s="10"/>
      <c r="C17" s="57" t="s">
        <v>323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324</v>
      </c>
      <c r="O17" s="10"/>
      <c r="S17" s="160"/>
    </row>
    <row r="18" spans="1:19" ht="14.25" customHeight="1" x14ac:dyDescent="0.35">
      <c r="A18" s="10" t="s">
        <v>27</v>
      </c>
      <c r="B18" s="10" t="s">
        <v>7</v>
      </c>
      <c r="C18" s="57" t="s">
        <v>325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0" t="s">
        <v>326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1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>
        <v>1125</v>
      </c>
      <c r="R22" s="72" t="s">
        <v>117</v>
      </c>
      <c r="S22" s="143" t="s">
        <v>327</v>
      </c>
    </row>
    <row r="23" spans="1:19" ht="14.25" customHeight="1" x14ac:dyDescent="0.35">
      <c r="A23" s="76">
        <v>1</v>
      </c>
      <c r="B23" s="54"/>
      <c r="C23" s="48" t="s">
        <v>328</v>
      </c>
      <c r="D23" s="10"/>
      <c r="E23" s="10"/>
      <c r="F23" s="10"/>
      <c r="G23" s="10"/>
      <c r="H23" s="10"/>
      <c r="I23" s="172">
        <v>6</v>
      </c>
      <c r="J23" s="154" t="s">
        <v>47</v>
      </c>
      <c r="K23" s="10"/>
      <c r="L23" s="173">
        <v>1777.5</v>
      </c>
      <c r="M23" s="78"/>
      <c r="N23" s="56"/>
      <c r="O23" s="78">
        <f>SUM(I23*L23)</f>
        <v>10665</v>
      </c>
      <c r="Q23" s="79">
        <v>7.2</v>
      </c>
      <c r="R23" s="79">
        <v>7.3</v>
      </c>
      <c r="S23" s="79">
        <v>7.4</v>
      </c>
    </row>
    <row r="24" spans="1:19" ht="14.25" customHeight="1" x14ac:dyDescent="0.35">
      <c r="A24" s="76">
        <v>2</v>
      </c>
      <c r="B24" s="54"/>
      <c r="C24" s="48" t="s">
        <v>329</v>
      </c>
      <c r="D24" s="10"/>
      <c r="E24" s="10"/>
      <c r="F24" s="10"/>
      <c r="G24" s="10"/>
      <c r="H24" s="10"/>
      <c r="I24" s="172">
        <v>7</v>
      </c>
      <c r="J24" s="154" t="s">
        <v>49</v>
      </c>
      <c r="K24" s="10"/>
      <c r="L24" s="173">
        <v>367.2</v>
      </c>
      <c r="M24" s="78"/>
      <c r="N24" s="56"/>
      <c r="O24" s="78">
        <f t="shared" ref="O24:O32" si="0">SUM(I24*L24)</f>
        <v>2570.4</v>
      </c>
      <c r="S24" s="79">
        <v>6.8</v>
      </c>
    </row>
    <row r="25" spans="1:19" ht="14.25" customHeight="1" x14ac:dyDescent="0.35">
      <c r="A25" s="76">
        <v>3</v>
      </c>
      <c r="B25" s="54"/>
      <c r="C25" s="49" t="s">
        <v>330</v>
      </c>
      <c r="D25" s="6"/>
      <c r="E25" s="6"/>
      <c r="F25" s="6"/>
      <c r="G25" s="6"/>
      <c r="H25" s="6"/>
      <c r="I25" s="172">
        <v>3</v>
      </c>
      <c r="J25" s="154" t="s">
        <v>49</v>
      </c>
      <c r="K25" s="10"/>
      <c r="L25" s="173">
        <v>367.2</v>
      </c>
      <c r="M25" s="78"/>
      <c r="N25" s="56"/>
      <c r="O25" s="78">
        <f t="shared" si="0"/>
        <v>1101.5999999999999</v>
      </c>
      <c r="S25" s="79">
        <v>6.8</v>
      </c>
    </row>
    <row r="26" spans="1:19" ht="14.25" customHeight="1" x14ac:dyDescent="0.35">
      <c r="A26" s="76">
        <v>4</v>
      </c>
      <c r="B26" s="54"/>
      <c r="C26" s="49" t="s">
        <v>331</v>
      </c>
      <c r="D26" s="6"/>
      <c r="E26" s="6"/>
      <c r="F26" s="6"/>
      <c r="G26" s="6"/>
      <c r="H26" s="6"/>
      <c r="I26" s="172">
        <v>4</v>
      </c>
      <c r="J26" s="154" t="s">
        <v>53</v>
      </c>
      <c r="K26" s="10"/>
      <c r="L26" s="173">
        <v>120</v>
      </c>
      <c r="M26" s="78"/>
      <c r="N26" s="56"/>
      <c r="O26" s="78">
        <f t="shared" si="0"/>
        <v>480</v>
      </c>
    </row>
    <row r="27" spans="1:19" ht="14.25" customHeight="1" x14ac:dyDescent="0.35">
      <c r="A27" s="76">
        <v>5</v>
      </c>
      <c r="B27" s="54"/>
      <c r="C27" s="51" t="s">
        <v>332</v>
      </c>
      <c r="D27" s="6"/>
      <c r="E27" s="6"/>
      <c r="F27" s="6"/>
      <c r="G27" s="6"/>
      <c r="H27" s="6"/>
      <c r="I27" s="153">
        <v>6</v>
      </c>
      <c r="J27" s="154" t="s">
        <v>55</v>
      </c>
      <c r="K27" s="10"/>
      <c r="L27" s="173">
        <v>275</v>
      </c>
      <c r="M27" s="78"/>
      <c r="N27" s="56"/>
      <c r="O27" s="78">
        <f t="shared" si="0"/>
        <v>1650</v>
      </c>
      <c r="S27" s="79">
        <v>12.5</v>
      </c>
    </row>
    <row r="28" spans="1:19" ht="14.25" customHeight="1" x14ac:dyDescent="0.35">
      <c r="A28" s="76">
        <v>6</v>
      </c>
      <c r="B28" s="54"/>
      <c r="C28" s="51" t="s">
        <v>333</v>
      </c>
      <c r="D28" s="10"/>
      <c r="E28" s="10"/>
      <c r="F28" s="10"/>
      <c r="G28" s="10"/>
      <c r="H28" s="10"/>
      <c r="I28" s="153">
        <v>6</v>
      </c>
      <c r="J28" s="154" t="s">
        <v>87</v>
      </c>
      <c r="K28" s="10"/>
      <c r="L28" s="173">
        <v>60</v>
      </c>
      <c r="M28" s="78"/>
      <c r="N28" s="56"/>
      <c r="O28" s="78">
        <f t="shared" si="0"/>
        <v>360</v>
      </c>
    </row>
    <row r="29" spans="1:19" ht="14.25" customHeight="1" x14ac:dyDescent="0.35">
      <c r="A29" s="76">
        <v>7</v>
      </c>
      <c r="B29" s="54"/>
      <c r="C29" s="51" t="s">
        <v>334</v>
      </c>
      <c r="D29" s="10"/>
      <c r="E29" s="10"/>
      <c r="F29" s="10"/>
      <c r="G29" s="10"/>
      <c r="H29" s="10"/>
      <c r="I29" s="153">
        <v>1</v>
      </c>
      <c r="J29" s="154" t="s">
        <v>84</v>
      </c>
      <c r="K29" s="10"/>
      <c r="L29" s="173">
        <v>410</v>
      </c>
      <c r="M29" s="78"/>
      <c r="N29" s="56"/>
      <c r="O29" s="78">
        <f t="shared" si="0"/>
        <v>410</v>
      </c>
    </row>
    <row r="30" spans="1:19" ht="14.25" customHeight="1" x14ac:dyDescent="0.35">
      <c r="A30" s="76">
        <v>8</v>
      </c>
      <c r="B30" s="54"/>
      <c r="C30" s="10" t="s">
        <v>335</v>
      </c>
      <c r="D30" s="10"/>
      <c r="E30" s="10"/>
      <c r="F30" s="10"/>
      <c r="G30" s="10"/>
      <c r="H30" s="10"/>
      <c r="I30" s="153">
        <v>2</v>
      </c>
      <c r="J30" s="154" t="s">
        <v>84</v>
      </c>
      <c r="K30" s="10"/>
      <c r="L30" s="173">
        <v>170</v>
      </c>
      <c r="M30" s="78"/>
      <c r="N30" s="56"/>
      <c r="O30" s="78">
        <f t="shared" si="0"/>
        <v>340</v>
      </c>
      <c r="S30" s="79">
        <v>2.5</v>
      </c>
    </row>
    <row r="31" spans="1:19" ht="14.25" customHeight="1" x14ac:dyDescent="0.35">
      <c r="A31" s="76">
        <v>9</v>
      </c>
      <c r="B31" s="54"/>
      <c r="C31" s="177" t="s">
        <v>336</v>
      </c>
      <c r="D31" s="10"/>
      <c r="E31" s="10"/>
      <c r="F31" s="10"/>
      <c r="G31" s="10"/>
      <c r="H31" s="10"/>
      <c r="I31" s="153">
        <v>1</v>
      </c>
      <c r="J31" s="154" t="s">
        <v>51</v>
      </c>
      <c r="K31" s="10"/>
      <c r="L31" s="173">
        <v>420</v>
      </c>
      <c r="M31" s="78"/>
      <c r="N31" s="56"/>
      <c r="O31" s="78">
        <f t="shared" si="0"/>
        <v>420</v>
      </c>
    </row>
    <row r="32" spans="1:19" ht="14.25" customHeight="1" x14ac:dyDescent="0.35">
      <c r="A32" s="76">
        <v>10</v>
      </c>
      <c r="B32" s="54"/>
      <c r="C32" s="177" t="s">
        <v>337</v>
      </c>
      <c r="D32" s="10"/>
      <c r="E32" s="10"/>
      <c r="F32" s="10"/>
      <c r="G32" s="10"/>
      <c r="H32" s="10"/>
      <c r="I32" s="153">
        <v>2</v>
      </c>
      <c r="J32" s="154" t="s">
        <v>51</v>
      </c>
      <c r="K32" s="10"/>
      <c r="L32" s="173">
        <v>62.5</v>
      </c>
      <c r="M32" s="78"/>
      <c r="N32" s="56"/>
      <c r="O32" s="78">
        <f t="shared" si="0"/>
        <v>125</v>
      </c>
    </row>
    <row r="33" spans="1:19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153"/>
      <c r="J33" s="154"/>
      <c r="K33" s="10"/>
      <c r="L33" s="173"/>
      <c r="M33" s="78"/>
      <c r="N33" s="56"/>
      <c r="O33" s="78"/>
      <c r="S33" s="79">
        <v>52</v>
      </c>
    </row>
    <row r="34" spans="1:19" ht="14.25" customHeight="1" x14ac:dyDescent="0.35">
      <c r="A34" s="76"/>
      <c r="B34" s="54"/>
      <c r="C34" s="10"/>
      <c r="D34" s="10"/>
      <c r="E34" s="10"/>
      <c r="F34" s="10"/>
      <c r="G34" s="10"/>
      <c r="H34" s="10"/>
      <c r="I34" s="172"/>
      <c r="J34" s="154"/>
      <c r="K34" s="10"/>
      <c r="L34" s="173"/>
      <c r="M34" s="78"/>
      <c r="N34" s="56"/>
      <c r="O34" s="78"/>
      <c r="S34" s="79">
        <v>34</v>
      </c>
    </row>
    <row r="35" spans="1:19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9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9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18122</v>
      </c>
    </row>
    <row r="55" spans="1:15" ht="14.25" customHeight="1" x14ac:dyDescent="0.35">
      <c r="A55" s="51" t="s">
        <v>338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B4F9-F480-4066-80E0-5D85D6B5D49C}">
  <sheetPr codeName="Sheet24"/>
  <dimension ref="A1:AC1000"/>
  <sheetViews>
    <sheetView topLeftCell="A1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25" customWidth="1"/>
    <col min="18" max="18" width="9.6640625" customWidth="1"/>
    <col min="19" max="19" width="8.08203125" customWidth="1"/>
    <col min="20" max="20" width="6.9140625" customWidth="1"/>
    <col min="21" max="21" width="7" customWidth="1"/>
    <col min="22" max="22" width="7.33203125" customWidth="1"/>
    <col min="23" max="23" width="8.33203125" customWidth="1"/>
    <col min="24" max="24" width="6.33203125" customWidth="1"/>
    <col min="25" max="25" width="7.9140625" customWidth="1"/>
    <col min="26" max="26" width="6.75" customWidth="1"/>
    <col min="27" max="27" width="7.75" customWidth="1"/>
    <col min="28" max="1034" width="12.83203125" customWidth="1"/>
    <col min="1035" max="103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339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306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9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340</v>
      </c>
      <c r="O17" s="10"/>
      <c r="AA17" s="10"/>
    </row>
    <row r="18" spans="1:29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9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9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163</v>
      </c>
      <c r="S22" s="72" t="s">
        <v>38</v>
      </c>
      <c r="T22" s="72" t="s">
        <v>101</v>
      </c>
      <c r="U22" s="72" t="s">
        <v>164</v>
      </c>
      <c r="V22" s="72" t="s">
        <v>117</v>
      </c>
      <c r="W22" s="72" t="s">
        <v>40</v>
      </c>
      <c r="X22" s="72" t="s">
        <v>165</v>
      </c>
      <c r="Z22" t="s">
        <v>45</v>
      </c>
      <c r="AA22" t="s">
        <v>166</v>
      </c>
    </row>
    <row r="23" spans="1:29" ht="14.25" customHeight="1" x14ac:dyDescent="0.35">
      <c r="A23" s="76">
        <v>1</v>
      </c>
      <c r="B23" s="54"/>
      <c r="C23" s="30" t="s">
        <v>129</v>
      </c>
      <c r="D23" s="10"/>
      <c r="E23" s="10"/>
      <c r="F23" s="10"/>
      <c r="G23" s="10"/>
      <c r="H23" s="10"/>
      <c r="I23" s="54">
        <v>2</v>
      </c>
      <c r="J23" s="55" t="s">
        <v>49</v>
      </c>
      <c r="K23" s="10"/>
      <c r="L23" s="56">
        <v>261</v>
      </c>
      <c r="M23" s="78"/>
      <c r="N23" s="56"/>
      <c r="O23" s="78">
        <f>SUM(I23*L23)</f>
        <v>522</v>
      </c>
      <c r="Q23" s="79">
        <v>8.1</v>
      </c>
      <c r="R23" s="79">
        <v>8.5</v>
      </c>
      <c r="S23" s="79">
        <v>8.5</v>
      </c>
      <c r="T23" s="79">
        <v>8.1</v>
      </c>
      <c r="U23" s="79">
        <v>7.5</v>
      </c>
      <c r="V23" s="79">
        <v>7.5</v>
      </c>
      <c r="W23" s="79">
        <v>7.6</v>
      </c>
      <c r="Y23" s="79">
        <v>7.9</v>
      </c>
      <c r="Z23" s="79">
        <v>8</v>
      </c>
      <c r="AA23" s="79">
        <v>7.9</v>
      </c>
      <c r="AB23" s="79">
        <v>8.3000000000000007</v>
      </c>
      <c r="AC23" s="79">
        <v>8.5</v>
      </c>
    </row>
    <row r="24" spans="1:29" ht="14.25" customHeight="1" x14ac:dyDescent="0.35">
      <c r="A24" s="76"/>
      <c r="B24" s="54"/>
      <c r="C24" s="3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R24" s="79">
        <v>7.5</v>
      </c>
      <c r="S24" s="79"/>
      <c r="W24" s="79">
        <v>7.3</v>
      </c>
      <c r="AA24" s="79"/>
    </row>
    <row r="25" spans="1:29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Q25" s="79">
        <v>5.8</v>
      </c>
      <c r="S25" s="79"/>
      <c r="U25" s="79"/>
      <c r="W25" s="79"/>
      <c r="X25" s="79"/>
      <c r="AA25" s="79"/>
    </row>
    <row r="26" spans="1:29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Q26" s="79">
        <v>13.5</v>
      </c>
      <c r="S26" s="79">
        <v>14</v>
      </c>
      <c r="U26" s="79"/>
      <c r="W26" s="79"/>
      <c r="X26" s="79">
        <v>13</v>
      </c>
      <c r="AA26" s="79"/>
    </row>
    <row r="27" spans="1:29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/>
      <c r="U27">
        <v>32</v>
      </c>
      <c r="AA27" s="79"/>
    </row>
    <row r="28" spans="1:29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S28" s="79"/>
      <c r="U28" s="79"/>
      <c r="AA28" s="79">
        <v>31</v>
      </c>
    </row>
    <row r="29" spans="1:29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AA29" s="79"/>
    </row>
    <row r="30" spans="1:2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X30" s="79"/>
      <c r="Y30" s="79"/>
    </row>
    <row r="31" spans="1:2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29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522</v>
      </c>
    </row>
    <row r="55" spans="1:15" ht="14.25" customHeight="1" x14ac:dyDescent="0.35">
      <c r="A55" s="10" t="s">
        <v>341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9AF1-7334-42C4-8D6F-6403D8C96F9D}">
  <sheetPr codeName="Sheet25"/>
  <dimension ref="A1:AI1003"/>
  <sheetViews>
    <sheetView topLeftCell="C38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342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343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344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298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7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14935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345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8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388C-87BF-4FD7-9232-14111D9290C5}">
  <sheetPr codeName="Sheet26"/>
  <dimension ref="A1:T1000"/>
  <sheetViews>
    <sheetView topLeftCell="A37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6640625" customWidth="1"/>
    <col min="18" max="18" width="8.08203125" customWidth="1"/>
    <col min="19" max="19" width="7.75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200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347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202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57" t="s">
        <v>204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57" t="s">
        <v>205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57" t="s">
        <v>22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0" ht="14.25" customHeight="1" x14ac:dyDescent="0.35">
      <c r="A17" s="10"/>
      <c r="B17" s="10"/>
      <c r="C17" s="5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349</v>
      </c>
      <c r="O17" s="10"/>
      <c r="S17" s="10"/>
    </row>
    <row r="18" spans="1:20" ht="14.25" customHeight="1" x14ac:dyDescent="0.35">
      <c r="A18" s="10" t="s">
        <v>27</v>
      </c>
      <c r="B18" s="10" t="s">
        <v>7</v>
      </c>
      <c r="C18" s="57" t="s">
        <v>207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0" ht="14.25" customHeight="1" x14ac:dyDescent="0.35">
      <c r="A19" s="10" t="s">
        <v>29</v>
      </c>
      <c r="B19" s="10" t="s">
        <v>7</v>
      </c>
      <c r="C19" s="10" t="s">
        <v>208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101</v>
      </c>
      <c r="R22" s="72" t="s">
        <v>115</v>
      </c>
      <c r="S22" s="66">
        <v>1125</v>
      </c>
      <c r="T22" s="72" t="s">
        <v>103</v>
      </c>
    </row>
    <row r="23" spans="1:20" ht="14.25" customHeight="1" x14ac:dyDescent="0.35">
      <c r="A23" s="76">
        <v>1</v>
      </c>
      <c r="B23" s="54"/>
      <c r="C23" s="30" t="s">
        <v>350</v>
      </c>
      <c r="D23" s="10"/>
      <c r="E23" s="10"/>
      <c r="F23" s="10"/>
      <c r="G23" s="10"/>
      <c r="H23" s="10"/>
      <c r="I23" s="54">
        <v>2</v>
      </c>
      <c r="J23" s="55" t="s">
        <v>47</v>
      </c>
      <c r="K23" s="10"/>
      <c r="L23" s="56">
        <v>1710</v>
      </c>
      <c r="M23" s="78"/>
      <c r="N23" s="56"/>
      <c r="O23" s="78">
        <f>SUM(I23*L23)</f>
        <v>3420</v>
      </c>
      <c r="Q23" s="79">
        <v>7.6</v>
      </c>
      <c r="R23" s="79">
        <v>6.6</v>
      </c>
      <c r="S23" s="79">
        <v>6.9</v>
      </c>
      <c r="T23" s="79">
        <v>7</v>
      </c>
    </row>
    <row r="24" spans="1:20" ht="14.25" customHeight="1" x14ac:dyDescent="0.35">
      <c r="A24" s="76">
        <v>2</v>
      </c>
      <c r="B24" s="54"/>
      <c r="C24" s="30" t="s">
        <v>172</v>
      </c>
      <c r="D24" s="10"/>
      <c r="E24" s="10"/>
      <c r="F24" s="10"/>
      <c r="G24" s="10"/>
      <c r="H24" s="10"/>
      <c r="I24" s="54">
        <v>6</v>
      </c>
      <c r="J24" s="55" t="s">
        <v>49</v>
      </c>
      <c r="K24" s="10"/>
      <c r="L24" s="56">
        <v>177</v>
      </c>
      <c r="M24" s="78"/>
      <c r="N24" s="56"/>
      <c r="O24" s="78">
        <f t="shared" ref="O24:O27" si="0">SUM(I24*L24)</f>
        <v>1062</v>
      </c>
      <c r="T24" s="79">
        <v>5.9</v>
      </c>
    </row>
    <row r="25" spans="1:20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3</v>
      </c>
      <c r="J25" s="55" t="s">
        <v>49</v>
      </c>
      <c r="K25" s="10"/>
      <c r="L25" s="56">
        <v>256.5</v>
      </c>
      <c r="M25" s="78"/>
      <c r="N25" s="56"/>
      <c r="O25" s="78">
        <f t="shared" si="0"/>
        <v>769.5</v>
      </c>
    </row>
    <row r="26" spans="1:20" ht="14.25" customHeight="1" x14ac:dyDescent="0.35">
      <c r="A26" s="76">
        <v>4</v>
      </c>
      <c r="B26" s="54"/>
      <c r="C26" s="6" t="s">
        <v>81</v>
      </c>
      <c r="D26" s="6"/>
      <c r="E26" s="6"/>
      <c r="F26" s="6"/>
      <c r="G26" s="6"/>
      <c r="H26" s="6"/>
      <c r="I26" s="20">
        <v>4</v>
      </c>
      <c r="J26" s="55" t="s">
        <v>55</v>
      </c>
      <c r="K26" s="10"/>
      <c r="L26" s="56">
        <v>231</v>
      </c>
      <c r="M26" s="78"/>
      <c r="N26" s="56"/>
      <c r="O26" s="78">
        <f t="shared" si="0"/>
        <v>924</v>
      </c>
    </row>
    <row r="27" spans="1:20" ht="14.25" customHeight="1" x14ac:dyDescent="0.35">
      <c r="A27" s="76">
        <v>5</v>
      </c>
      <c r="B27" s="54"/>
      <c r="C27" s="6" t="s">
        <v>351</v>
      </c>
      <c r="D27" s="6"/>
      <c r="E27" s="6"/>
      <c r="F27" s="6"/>
      <c r="G27" s="6"/>
      <c r="H27" s="6"/>
      <c r="I27" s="20">
        <v>1</v>
      </c>
      <c r="J27" s="55" t="s">
        <v>84</v>
      </c>
      <c r="K27" s="10"/>
      <c r="L27" s="56">
        <v>170</v>
      </c>
      <c r="M27" s="78"/>
      <c r="N27" s="56"/>
      <c r="O27" s="78">
        <f t="shared" si="0"/>
        <v>170</v>
      </c>
    </row>
    <row r="28" spans="1:20" ht="14.25" customHeight="1" x14ac:dyDescent="0.35">
      <c r="A28" s="71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20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0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0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6345.5</v>
      </c>
    </row>
    <row r="55" spans="1:15" ht="14.25" customHeight="1" x14ac:dyDescent="0.35">
      <c r="A55" s="10" t="s">
        <v>352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3692-26FC-4768-B822-F07D7121EDCF}">
  <sheetPr codeName="Sheet27"/>
  <dimension ref="A1:T1000"/>
  <sheetViews>
    <sheetView topLeftCell="A7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6640625" customWidth="1"/>
    <col min="18" max="18" width="8.08203125" customWidth="1"/>
    <col min="19" max="19" width="7.75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200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353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202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57" t="s">
        <v>204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57" t="s">
        <v>205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57" t="s">
        <v>22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0" ht="14.25" customHeight="1" x14ac:dyDescent="0.35">
      <c r="A17" s="10"/>
      <c r="B17" s="10"/>
      <c r="C17" s="5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354</v>
      </c>
      <c r="O17" s="10"/>
      <c r="S17" s="10"/>
    </row>
    <row r="18" spans="1:20" ht="14.25" customHeight="1" x14ac:dyDescent="0.35">
      <c r="A18" s="10" t="s">
        <v>27</v>
      </c>
      <c r="B18" s="10" t="s">
        <v>7</v>
      </c>
      <c r="C18" s="57" t="s">
        <v>207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0" ht="14.25" customHeight="1" x14ac:dyDescent="0.35">
      <c r="A19" s="10" t="s">
        <v>29</v>
      </c>
      <c r="B19" s="10" t="s">
        <v>7</v>
      </c>
      <c r="C19" s="10" t="s">
        <v>208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101</v>
      </c>
      <c r="R22" s="72" t="s">
        <v>115</v>
      </c>
      <c r="S22" s="66">
        <v>1125</v>
      </c>
      <c r="T22" s="72" t="s">
        <v>103</v>
      </c>
    </row>
    <row r="23" spans="1:20" ht="14.25" customHeight="1" x14ac:dyDescent="0.35">
      <c r="A23" s="76">
        <v>1</v>
      </c>
      <c r="B23" s="54"/>
      <c r="C23" s="6" t="s">
        <v>81</v>
      </c>
      <c r="D23" s="10"/>
      <c r="E23" s="10"/>
      <c r="F23" s="10"/>
      <c r="G23" s="10"/>
      <c r="H23" s="10"/>
      <c r="I23" s="20">
        <v>2</v>
      </c>
      <c r="J23" s="55" t="s">
        <v>55</v>
      </c>
      <c r="K23" s="10"/>
      <c r="L23" s="56">
        <v>231</v>
      </c>
      <c r="M23" s="78"/>
      <c r="N23" s="56"/>
      <c r="O23" s="78">
        <f>SUM(I23*L23)</f>
        <v>462</v>
      </c>
      <c r="Q23" s="79">
        <v>7.6</v>
      </c>
      <c r="R23" s="79">
        <v>6.6</v>
      </c>
      <c r="S23" s="79">
        <v>6.9</v>
      </c>
      <c r="T23" s="79">
        <v>7</v>
      </c>
    </row>
    <row r="24" spans="1:20" ht="14.25" customHeight="1" x14ac:dyDescent="0.35">
      <c r="A24" s="76"/>
      <c r="B24" s="54"/>
      <c r="C24" s="3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T24" s="79">
        <v>5.9</v>
      </c>
    </row>
    <row r="25" spans="1:20" ht="14.25" customHeight="1" x14ac:dyDescent="0.35">
      <c r="A25" s="76"/>
      <c r="B25" s="54"/>
      <c r="C25" s="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</row>
    <row r="26" spans="1:20" ht="14.25" customHeight="1" x14ac:dyDescent="0.35">
      <c r="A26" s="76"/>
      <c r="B26" s="54"/>
      <c r="C26" s="6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</row>
    <row r="27" spans="1:20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</row>
    <row r="28" spans="1:20" ht="14.25" customHeight="1" x14ac:dyDescent="0.35">
      <c r="A28" s="71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20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0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0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462</v>
      </c>
    </row>
    <row r="55" spans="1:15" ht="14.25" customHeight="1" x14ac:dyDescent="0.35">
      <c r="A55" s="10" t="s">
        <v>355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E550-BB74-49A3-83D2-39358F0EC64F}">
  <sheetPr codeName="Sheet28"/>
  <dimension ref="A1:AD1000"/>
  <sheetViews>
    <sheetView showWhiteSpace="0" topLeftCell="A10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10.1640625" customWidth="1"/>
    <col min="19" max="19" width="9.58203125" customWidth="1"/>
    <col min="20" max="20" width="10.5" bestFit="1" customWidth="1"/>
    <col min="21" max="22" width="7.1640625" customWidth="1"/>
    <col min="23" max="23" width="7.5" customWidth="1"/>
    <col min="24" max="24" width="7.58203125" customWidth="1"/>
    <col min="25" max="28" width="7.1640625" bestFit="1" customWidth="1"/>
    <col min="29" max="30" width="6.08203125" bestFit="1" customWidth="1"/>
    <col min="31" max="31" width="5.75" customWidth="1"/>
    <col min="32" max="32" width="7.25" customWidth="1"/>
    <col min="33" max="33" width="6.33203125" customWidth="1"/>
    <col min="34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175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356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177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357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179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180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181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358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183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184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0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36</v>
      </c>
      <c r="R22" s="151" t="s">
        <v>37</v>
      </c>
      <c r="S22" s="151" t="s">
        <v>38</v>
      </c>
      <c r="T22" s="151" t="s">
        <v>101</v>
      </c>
      <c r="U22" s="151" t="s">
        <v>185</v>
      </c>
      <c r="V22" s="151" t="s">
        <v>115</v>
      </c>
      <c r="W22" s="148" t="s">
        <v>122</v>
      </c>
      <c r="X22" s="148" t="s">
        <v>186</v>
      </c>
      <c r="Y22" s="148" t="s">
        <v>187</v>
      </c>
      <c r="Z22" s="148" t="s">
        <v>188</v>
      </c>
      <c r="AA22" s="148" t="s">
        <v>189</v>
      </c>
      <c r="AD22" s="152"/>
    </row>
    <row r="23" spans="1:30" s="148" customFormat="1" ht="14.25" customHeight="1" x14ac:dyDescent="0.35">
      <c r="A23" s="76">
        <v>1</v>
      </c>
      <c r="B23" s="54"/>
      <c r="C23" s="51" t="s">
        <v>190</v>
      </c>
      <c r="D23" s="6"/>
      <c r="E23" s="6"/>
      <c r="F23" s="6"/>
      <c r="G23" s="6"/>
      <c r="H23" s="6"/>
      <c r="I23" s="153">
        <v>1</v>
      </c>
      <c r="J23" s="154" t="s">
        <v>47</v>
      </c>
      <c r="K23" s="10"/>
      <c r="L23" s="56">
        <v>1845</v>
      </c>
      <c r="M23" s="78"/>
      <c r="N23" s="56"/>
      <c r="O23" s="78">
        <f>SUM(I23*L23)</f>
        <v>1845</v>
      </c>
      <c r="Q23" s="155">
        <v>8.1999999999999993</v>
      </c>
      <c r="R23" s="155"/>
      <c r="S23" s="155">
        <v>8.5</v>
      </c>
      <c r="T23" s="155" t="s">
        <v>191</v>
      </c>
      <c r="U23" s="155">
        <v>7.5</v>
      </c>
      <c r="V23" s="155"/>
      <c r="X23" s="152">
        <v>7.7</v>
      </c>
      <c r="Y23" s="155">
        <v>7.6</v>
      </c>
      <c r="Z23" s="155">
        <v>7.5</v>
      </c>
      <c r="AA23" s="155">
        <v>7.4</v>
      </c>
      <c r="AB23" s="155"/>
      <c r="AC23" s="155"/>
      <c r="AD23" s="152"/>
    </row>
    <row r="24" spans="1:30" s="148" customFormat="1" ht="14.25" customHeight="1" x14ac:dyDescent="0.35">
      <c r="A24" s="76">
        <v>2</v>
      </c>
      <c r="B24" s="54"/>
      <c r="C24" s="10" t="s">
        <v>192</v>
      </c>
      <c r="D24" s="6"/>
      <c r="E24" s="6"/>
      <c r="F24" s="6"/>
      <c r="G24" s="6"/>
      <c r="H24" s="6"/>
      <c r="I24" s="153">
        <v>3</v>
      </c>
      <c r="J24" s="154" t="s">
        <v>49</v>
      </c>
      <c r="K24" s="10"/>
      <c r="L24" s="56">
        <v>225</v>
      </c>
      <c r="M24" s="78"/>
      <c r="N24" s="56"/>
      <c r="O24" s="78">
        <f t="shared" ref="O24:O25" si="0">SUM(I24*L24)</f>
        <v>675</v>
      </c>
      <c r="R24" s="155">
        <v>7.5</v>
      </c>
      <c r="W24" s="155">
        <v>7.2</v>
      </c>
      <c r="X24" s="152">
        <v>7</v>
      </c>
      <c r="Y24" s="155"/>
      <c r="Z24" s="155">
        <v>7</v>
      </c>
      <c r="AA24" s="155">
        <v>7</v>
      </c>
      <c r="AB24" s="155"/>
      <c r="AC24" s="155"/>
    </row>
    <row r="25" spans="1:30" s="148" customFormat="1" ht="14.25" customHeight="1" x14ac:dyDescent="0.35">
      <c r="A25" s="76">
        <v>3</v>
      </c>
      <c r="B25" s="54"/>
      <c r="C25" s="156" t="s">
        <v>359</v>
      </c>
      <c r="D25" s="6"/>
      <c r="E25" s="6"/>
      <c r="F25" s="6"/>
      <c r="G25" s="6"/>
      <c r="H25" s="6"/>
      <c r="I25" s="20">
        <v>1</v>
      </c>
      <c r="J25" s="55" t="s">
        <v>84</v>
      </c>
      <c r="K25" s="10"/>
      <c r="L25" s="56">
        <v>285</v>
      </c>
      <c r="M25" s="78"/>
      <c r="N25" s="56"/>
      <c r="O25" s="78">
        <f t="shared" si="0"/>
        <v>285</v>
      </c>
      <c r="V25" s="155">
        <v>6.8</v>
      </c>
      <c r="X25" s="155">
        <v>7</v>
      </c>
      <c r="Y25" s="155"/>
      <c r="Z25" s="155"/>
      <c r="AA25" s="155"/>
      <c r="AB25" s="155"/>
      <c r="AC25" s="155"/>
    </row>
    <row r="26" spans="1:30" s="148" customFormat="1" ht="14.25" customHeight="1" x14ac:dyDescent="0.35">
      <c r="A26" s="76"/>
      <c r="B26" s="54"/>
      <c r="C26" s="10"/>
      <c r="D26" s="6"/>
      <c r="E26" s="6"/>
      <c r="F26" s="6"/>
      <c r="G26" s="6"/>
      <c r="H26" s="6"/>
      <c r="I26" s="153"/>
      <c r="J26" s="55"/>
      <c r="K26" s="10"/>
      <c r="L26" s="56"/>
      <c r="M26" s="78"/>
      <c r="N26" s="56"/>
      <c r="O26" s="78"/>
      <c r="AA26" s="155"/>
      <c r="AB26" s="155"/>
      <c r="AC26" s="155"/>
    </row>
    <row r="27" spans="1:30" s="148" customFormat="1" ht="14.25" customHeight="1" x14ac:dyDescent="0.35">
      <c r="A27" s="76"/>
      <c r="B27" s="54"/>
      <c r="C27" s="157"/>
      <c r="D27" s="6"/>
      <c r="E27" s="6"/>
      <c r="F27" s="6"/>
      <c r="G27" s="6"/>
      <c r="H27" s="6"/>
      <c r="I27" s="153"/>
      <c r="J27" s="154"/>
      <c r="K27" s="10"/>
      <c r="L27" s="56"/>
      <c r="M27" s="78"/>
      <c r="N27" s="56"/>
      <c r="O27" s="78"/>
      <c r="X27" s="155"/>
      <c r="Z27" s="155"/>
      <c r="AA27" s="155"/>
      <c r="AB27" s="155"/>
      <c r="AC27" s="155"/>
    </row>
    <row r="28" spans="1:30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Z28" s="155"/>
      <c r="AA28" s="155"/>
      <c r="AB28" s="155"/>
    </row>
    <row r="29" spans="1:30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Z29" s="155"/>
      <c r="AA29" s="155"/>
    </row>
    <row r="30" spans="1:30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B30" s="155"/>
    </row>
    <row r="31" spans="1:30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0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2805</v>
      </c>
    </row>
    <row r="55" spans="1:15" s="148" customFormat="1" ht="14.25" customHeight="1" x14ac:dyDescent="0.35">
      <c r="A55" s="10" t="s">
        <v>360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5619-5DDE-4C1C-B13F-B9A76AE85D5B}">
  <sheetPr codeName="Sheet29"/>
  <dimension ref="A1:AI1003"/>
  <sheetViews>
    <sheetView topLeftCell="D38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361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357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362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298</v>
      </c>
      <c r="D24" s="6"/>
      <c r="E24" s="6"/>
      <c r="F24" s="6"/>
      <c r="G24" s="6"/>
      <c r="H24" s="6"/>
      <c r="I24" s="20">
        <v>12</v>
      </c>
      <c r="J24" s="55" t="s">
        <v>49</v>
      </c>
      <c r="K24" s="10"/>
      <c r="L24" s="77">
        <v>214.6</v>
      </c>
      <c r="M24" s="78"/>
      <c r="N24" s="56"/>
      <c r="O24" s="78">
        <f t="shared" ref="O24:O28" si="0">SUM(I24*L24)</f>
        <v>2575.1999999999998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172</v>
      </c>
      <c r="D25" s="6"/>
      <c r="E25" s="6"/>
      <c r="F25" s="6"/>
      <c r="G25" s="6"/>
      <c r="H25" s="6"/>
      <c r="I25" s="20">
        <v>3</v>
      </c>
      <c r="J25" s="55" t="s">
        <v>49</v>
      </c>
      <c r="K25" s="10"/>
      <c r="L25" s="77">
        <v>174</v>
      </c>
      <c r="M25" s="78"/>
      <c r="N25" s="56"/>
      <c r="O25" s="78">
        <f t="shared" si="0"/>
        <v>522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129</v>
      </c>
      <c r="D26" s="6"/>
      <c r="E26" s="6"/>
      <c r="F26" s="6"/>
      <c r="G26" s="6"/>
      <c r="H26" s="6"/>
      <c r="I26" s="20">
        <v>8</v>
      </c>
      <c r="J26" s="55" t="s">
        <v>49</v>
      </c>
      <c r="K26" s="10"/>
      <c r="L26" s="56">
        <v>207</v>
      </c>
      <c r="M26" s="78"/>
      <c r="N26" s="56"/>
      <c r="O26" s="78">
        <f t="shared" si="0"/>
        <v>1656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52</v>
      </c>
      <c r="D27" s="6"/>
      <c r="E27" s="6"/>
      <c r="F27" s="6"/>
      <c r="G27" s="6"/>
      <c r="H27" s="6"/>
      <c r="I27" s="20">
        <v>4</v>
      </c>
      <c r="J27" s="55" t="s">
        <v>53</v>
      </c>
      <c r="K27" s="10"/>
      <c r="L27" s="56">
        <v>115</v>
      </c>
      <c r="M27" s="78"/>
      <c r="N27" s="56"/>
      <c r="O27" s="78">
        <f t="shared" si="0"/>
        <v>460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>
        <v>6</v>
      </c>
      <c r="B28" s="54"/>
      <c r="C28" s="6" t="s">
        <v>131</v>
      </c>
      <c r="D28" s="6"/>
      <c r="E28" s="6"/>
      <c r="F28" s="6"/>
      <c r="G28" s="6"/>
      <c r="H28" s="6"/>
      <c r="I28" s="20">
        <v>1</v>
      </c>
      <c r="J28" s="55" t="s">
        <v>55</v>
      </c>
      <c r="K28" s="10"/>
      <c r="L28" s="56">
        <v>1000</v>
      </c>
      <c r="M28" s="78"/>
      <c r="N28" s="56"/>
      <c r="O28" s="78">
        <f t="shared" si="0"/>
        <v>1000</v>
      </c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14763.2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345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8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38BF-8A24-4B46-99C8-45864BD30F82}">
  <sheetPr codeName="Sheet30"/>
  <dimension ref="A1:AC1000"/>
  <sheetViews>
    <sheetView topLeftCell="A1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25" customWidth="1"/>
    <col min="18" max="18" width="9.6640625" customWidth="1"/>
    <col min="19" max="19" width="8.08203125" customWidth="1"/>
    <col min="20" max="20" width="6.9140625" customWidth="1"/>
    <col min="21" max="21" width="7" customWidth="1"/>
    <col min="22" max="22" width="7.33203125" customWidth="1"/>
    <col min="23" max="23" width="8.33203125" customWidth="1"/>
    <col min="24" max="24" width="6.33203125" customWidth="1"/>
    <col min="25" max="25" width="7.9140625" customWidth="1"/>
    <col min="26" max="26" width="6.75" customWidth="1"/>
    <col min="27" max="27" width="7.75" customWidth="1"/>
    <col min="28" max="1034" width="12.83203125" customWidth="1"/>
    <col min="1035" max="103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363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364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9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365</v>
      </c>
      <c r="O17" s="10"/>
      <c r="AA17" s="10"/>
    </row>
    <row r="18" spans="1:29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9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9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163</v>
      </c>
      <c r="S22" s="72" t="s">
        <v>38</v>
      </c>
      <c r="T22" s="72" t="s">
        <v>101</v>
      </c>
      <c r="U22" s="72" t="s">
        <v>164</v>
      </c>
      <c r="V22" s="72" t="s">
        <v>117</v>
      </c>
      <c r="W22" s="72" t="s">
        <v>40</v>
      </c>
      <c r="X22" s="72" t="s">
        <v>165</v>
      </c>
      <c r="Z22" t="s">
        <v>45</v>
      </c>
      <c r="AA22" t="s">
        <v>166</v>
      </c>
    </row>
    <row r="23" spans="1:29" ht="14.25" customHeight="1" x14ac:dyDescent="0.35">
      <c r="A23" s="76">
        <v>1</v>
      </c>
      <c r="B23" s="54"/>
      <c r="C23" s="30" t="s">
        <v>190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79">
        <v>8.1</v>
      </c>
      <c r="R23" s="79">
        <v>8.5</v>
      </c>
      <c r="S23" s="79">
        <v>8.5</v>
      </c>
      <c r="T23" s="79">
        <v>8.1</v>
      </c>
      <c r="U23" s="79">
        <v>7.5</v>
      </c>
      <c r="V23" s="79">
        <v>7.5</v>
      </c>
      <c r="W23" s="79">
        <v>7.6</v>
      </c>
      <c r="Y23" s="79">
        <v>7.9</v>
      </c>
      <c r="Z23" s="79">
        <v>8</v>
      </c>
      <c r="AA23" s="79">
        <v>7.9</v>
      </c>
      <c r="AB23" s="79">
        <v>8.3000000000000007</v>
      </c>
      <c r="AC23" s="79">
        <v>8.5</v>
      </c>
    </row>
    <row r="24" spans="1:29" ht="14.25" customHeight="1" x14ac:dyDescent="0.35">
      <c r="A24" s="76">
        <v>2</v>
      </c>
      <c r="B24" s="54"/>
      <c r="C24" s="30" t="s">
        <v>80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502.5</v>
      </c>
      <c r="M24" s="78"/>
      <c r="N24" s="56"/>
      <c r="O24" s="78">
        <f t="shared" ref="O24:O27" si="0">SUM(I24*L24)</f>
        <v>502.5</v>
      </c>
      <c r="R24" s="79">
        <v>7.5</v>
      </c>
      <c r="S24" s="79"/>
      <c r="W24" s="79">
        <v>7.3</v>
      </c>
      <c r="AA24" s="79"/>
    </row>
    <row r="25" spans="1:29" ht="14.25" customHeight="1" x14ac:dyDescent="0.35">
      <c r="A25" s="76">
        <v>3</v>
      </c>
      <c r="B25" s="54"/>
      <c r="C25" s="10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120</v>
      </c>
      <c r="M25" s="78"/>
      <c r="N25" s="56"/>
      <c r="O25" s="78">
        <f t="shared" si="0"/>
        <v>120</v>
      </c>
      <c r="Q25" s="79">
        <v>5.8</v>
      </c>
      <c r="S25" s="79"/>
      <c r="U25" s="79"/>
      <c r="W25" s="79"/>
      <c r="X25" s="79"/>
      <c r="AA25" s="79"/>
    </row>
    <row r="26" spans="1:29" ht="14.25" customHeight="1" x14ac:dyDescent="0.35">
      <c r="A26" s="76">
        <v>4</v>
      </c>
      <c r="B26" s="54"/>
      <c r="C26" s="6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297</v>
      </c>
      <c r="M26" s="78"/>
      <c r="N26" s="56"/>
      <c r="O26" s="78">
        <f t="shared" si="0"/>
        <v>297</v>
      </c>
      <c r="Q26" s="79">
        <v>13.5</v>
      </c>
      <c r="S26" s="79">
        <v>14</v>
      </c>
      <c r="U26" s="79"/>
      <c r="W26" s="79"/>
      <c r="X26" s="79">
        <v>13</v>
      </c>
      <c r="AA26" s="79"/>
    </row>
    <row r="27" spans="1:29" ht="14.25" customHeight="1" x14ac:dyDescent="0.35">
      <c r="A27" s="76">
        <v>5</v>
      </c>
      <c r="B27" s="54"/>
      <c r="C27" s="6" t="s">
        <v>167</v>
      </c>
      <c r="D27" s="6"/>
      <c r="E27" s="6"/>
      <c r="F27" s="6"/>
      <c r="G27" s="6"/>
      <c r="H27" s="6"/>
      <c r="I27" s="54">
        <v>1</v>
      </c>
      <c r="J27" s="55" t="s">
        <v>84</v>
      </c>
      <c r="K27" s="10"/>
      <c r="L27" s="56">
        <v>160</v>
      </c>
      <c r="M27" s="78"/>
      <c r="N27" s="56"/>
      <c r="O27" s="78">
        <f t="shared" si="0"/>
        <v>160</v>
      </c>
      <c r="S27" s="79"/>
      <c r="U27">
        <v>32</v>
      </c>
      <c r="AA27" s="79"/>
    </row>
    <row r="28" spans="1:29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S28" s="79"/>
      <c r="U28" s="79"/>
      <c r="AA28" s="79">
        <v>31</v>
      </c>
    </row>
    <row r="29" spans="1:29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AA29" s="79"/>
    </row>
    <row r="30" spans="1:2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X30" s="79"/>
      <c r="Y30" s="79"/>
    </row>
    <row r="31" spans="1:2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29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2902</v>
      </c>
    </row>
    <row r="55" spans="1:15" ht="14.25" customHeight="1" x14ac:dyDescent="0.35">
      <c r="A55" s="10" t="s">
        <v>366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F850-6196-40CB-A70E-B5339D390FD6}">
  <sheetPr codeName="Sheet31"/>
  <dimension ref="A1:AG1000"/>
  <sheetViews>
    <sheetView topLeftCell="A38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367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368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369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1845</v>
      </c>
      <c r="M23" s="78"/>
      <c r="N23" s="56"/>
      <c r="O23" s="78">
        <f>SUM(I23*L23)</f>
        <v>1845</v>
      </c>
      <c r="P23" s="79"/>
      <c r="Q23" s="79">
        <v>8.1999999999999993</v>
      </c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>
        <v>2</v>
      </c>
      <c r="B24" s="54"/>
      <c r="C24" s="10" t="s">
        <v>52</v>
      </c>
      <c r="D24" s="10"/>
      <c r="E24" s="10"/>
      <c r="F24" s="10"/>
      <c r="G24" s="10"/>
      <c r="H24" s="10"/>
      <c r="I24" s="54">
        <v>1</v>
      </c>
      <c r="J24" s="55" t="s">
        <v>53</v>
      </c>
      <c r="K24" s="10"/>
      <c r="L24" s="56">
        <v>115</v>
      </c>
      <c r="M24" s="78"/>
      <c r="N24" s="56"/>
      <c r="O24" s="78">
        <f t="shared" ref="O24:O25" si="0">SUM(I24*L24)</f>
        <v>115</v>
      </c>
      <c r="P24" s="79"/>
      <c r="Q24" s="79">
        <v>7.3</v>
      </c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>
        <v>3</v>
      </c>
      <c r="B25" s="54"/>
      <c r="C25" s="156" t="s">
        <v>82</v>
      </c>
      <c r="D25" s="6"/>
      <c r="E25" s="6"/>
      <c r="F25" s="6"/>
      <c r="G25" s="6"/>
      <c r="H25" s="6"/>
      <c r="I25" s="20">
        <v>5</v>
      </c>
      <c r="J25" s="55" t="s">
        <v>51</v>
      </c>
      <c r="K25" s="10"/>
      <c r="L25" s="56">
        <v>62.5</v>
      </c>
      <c r="M25" s="78"/>
      <c r="N25" s="56"/>
      <c r="O25" s="78">
        <f t="shared" si="0"/>
        <v>312.5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2272.5</v>
      </c>
    </row>
    <row r="55" spans="1:15" ht="14.25" customHeight="1" x14ac:dyDescent="0.35">
      <c r="A55" s="10" t="s">
        <v>370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AE73-1F93-4A78-A1F3-2A58F0866B85}">
  <sheetPr codeName="Sheet32"/>
  <dimension ref="A1:AD1000"/>
  <sheetViews>
    <sheetView topLeftCell="A6" workbookViewId="0">
      <selection activeCell="Q12" sqref="Q12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9140625" customWidth="1"/>
    <col min="18" max="18" width="8" customWidth="1"/>
    <col min="19" max="19" width="7" customWidth="1"/>
    <col min="20" max="20" width="7.4140625" customWidth="1"/>
    <col min="21" max="21" width="6.5" customWidth="1"/>
    <col min="22" max="22" width="7.4140625" customWidth="1"/>
    <col min="23" max="23" width="6.75" customWidth="1"/>
    <col min="24" max="24" width="9" customWidth="1"/>
    <col min="25" max="25" width="7.33203125" customWidth="1"/>
    <col min="26" max="26" width="6.33203125" customWidth="1"/>
    <col min="27" max="27" width="6.5" customWidth="1"/>
    <col min="28" max="28" width="3.1640625" customWidth="1"/>
    <col min="29" max="29" width="7.9140625" bestFit="1" customWidth="1"/>
    <col min="30" max="30" width="8.6640625" bestFit="1" customWidth="1"/>
    <col min="31" max="1033" width="12.83203125" customWidth="1"/>
    <col min="1034" max="1034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371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372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373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368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374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375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376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377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378</v>
      </c>
      <c r="O17" s="10"/>
      <c r="Z17" s="10"/>
    </row>
    <row r="18" spans="1:30" ht="14.25" customHeight="1" x14ac:dyDescent="0.35">
      <c r="A18" s="10" t="s">
        <v>27</v>
      </c>
      <c r="B18" s="10" t="s">
        <v>7</v>
      </c>
      <c r="C18" s="7" t="s">
        <v>379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380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 t="s">
        <v>36</v>
      </c>
      <c r="R22" s="72" t="s">
        <v>163</v>
      </c>
      <c r="S22" s="72" t="s">
        <v>381</v>
      </c>
      <c r="T22" s="72" t="s">
        <v>102</v>
      </c>
      <c r="U22" s="90" t="s">
        <v>117</v>
      </c>
      <c r="V22" s="178" t="s">
        <v>382</v>
      </c>
      <c r="W22" s="178" t="s">
        <v>39</v>
      </c>
      <c r="X22" s="178" t="s">
        <v>383</v>
      </c>
      <c r="Y22" s="171" t="s">
        <v>104</v>
      </c>
      <c r="Z22" s="171" t="s">
        <v>384</v>
      </c>
      <c r="AA22" s="171" t="s">
        <v>385</v>
      </c>
      <c r="AB22" s="171"/>
      <c r="AC22" s="171" t="s">
        <v>386</v>
      </c>
      <c r="AD22" t="s">
        <v>387</v>
      </c>
    </row>
    <row r="23" spans="1:30" ht="14.25" customHeight="1" x14ac:dyDescent="0.35">
      <c r="A23" s="22">
        <v>1</v>
      </c>
      <c r="B23" s="20"/>
      <c r="C23" s="162" t="s">
        <v>350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26">
        <v>1845</v>
      </c>
      <c r="M23" s="27"/>
      <c r="N23" s="26"/>
      <c r="O23" s="27">
        <f>SUM(I23*L23)</f>
        <v>1845</v>
      </c>
      <c r="Q23" s="79">
        <v>8.1999999999999993</v>
      </c>
      <c r="S23" s="79">
        <v>8.6</v>
      </c>
      <c r="T23" s="79">
        <v>7.4</v>
      </c>
      <c r="U23" s="79">
        <v>7.5</v>
      </c>
      <c r="V23" s="79">
        <v>7.6</v>
      </c>
      <c r="W23" s="79">
        <v>7.7</v>
      </c>
      <c r="X23" s="79">
        <v>8</v>
      </c>
      <c r="Y23" s="79">
        <v>7.9</v>
      </c>
      <c r="Z23" s="79">
        <v>8.4</v>
      </c>
      <c r="AA23" s="79">
        <v>7.15</v>
      </c>
      <c r="AB23" s="79"/>
      <c r="AC23" s="79">
        <v>8.6</v>
      </c>
      <c r="AD23" s="146">
        <v>8.5</v>
      </c>
    </row>
    <row r="24" spans="1:30" ht="14.25" customHeight="1" x14ac:dyDescent="0.35">
      <c r="A24" s="22"/>
      <c r="B24" s="20"/>
      <c r="C24" s="6"/>
      <c r="D24" s="6"/>
      <c r="E24" s="6"/>
      <c r="F24" s="6"/>
      <c r="G24" s="6"/>
      <c r="H24" s="6"/>
      <c r="I24" s="20"/>
      <c r="J24" s="21"/>
      <c r="K24" s="6"/>
      <c r="L24" s="26"/>
      <c r="M24" s="27"/>
      <c r="N24" s="26"/>
      <c r="O24" s="27"/>
      <c r="S24" s="79">
        <v>7.5</v>
      </c>
      <c r="T24" s="79">
        <v>7.2</v>
      </c>
      <c r="U24" s="79">
        <v>7.3</v>
      </c>
      <c r="V24" s="79">
        <v>7.3</v>
      </c>
      <c r="W24" s="79">
        <v>7.5</v>
      </c>
      <c r="X24" s="79">
        <v>7.8</v>
      </c>
      <c r="Y24" s="79">
        <v>12.8</v>
      </c>
      <c r="Z24" s="79">
        <v>12.7</v>
      </c>
      <c r="AA24" s="79">
        <v>10.6</v>
      </c>
      <c r="AB24" s="79"/>
      <c r="AC24" s="79"/>
      <c r="AD24" s="79"/>
    </row>
    <row r="25" spans="1:30" ht="14.25" customHeight="1" x14ac:dyDescent="0.35">
      <c r="A25" s="22"/>
      <c r="B25" s="20"/>
      <c r="C25" s="6"/>
      <c r="D25" s="6"/>
      <c r="E25" s="6"/>
      <c r="F25" s="6"/>
      <c r="G25" s="6"/>
      <c r="H25" s="6"/>
      <c r="I25" s="20"/>
      <c r="J25" s="21"/>
      <c r="K25" s="6"/>
      <c r="L25" s="26"/>
      <c r="M25" s="27"/>
      <c r="N25" s="26"/>
      <c r="O25" s="27"/>
      <c r="T25" s="79">
        <v>6.7</v>
      </c>
      <c r="V25" s="79">
        <v>7</v>
      </c>
      <c r="Y25" s="79"/>
      <c r="Z25" s="79"/>
      <c r="AA25" s="79"/>
      <c r="AB25" s="79"/>
      <c r="AC25" s="79"/>
      <c r="AD25" s="79"/>
    </row>
    <row r="26" spans="1:30" ht="14.25" customHeight="1" x14ac:dyDescent="0.35">
      <c r="A26" s="22"/>
      <c r="B26" s="20"/>
      <c r="C26" s="6"/>
      <c r="D26" s="6"/>
      <c r="E26" s="6"/>
      <c r="F26" s="6"/>
      <c r="G26" s="6"/>
      <c r="H26" s="6"/>
      <c r="I26" s="20"/>
      <c r="J26" s="21"/>
      <c r="K26" s="6"/>
      <c r="L26" s="26"/>
      <c r="M26" s="27"/>
      <c r="N26" s="26"/>
      <c r="O26" s="27"/>
      <c r="S26" s="79">
        <v>14.5</v>
      </c>
      <c r="V26" s="79">
        <v>6.8</v>
      </c>
      <c r="X26" s="79"/>
      <c r="Y26" s="79"/>
      <c r="Z26" s="79"/>
      <c r="AA26" s="79"/>
      <c r="AB26" s="79"/>
    </row>
    <row r="27" spans="1:30" ht="14.25" customHeight="1" x14ac:dyDescent="0.35">
      <c r="A27" s="22"/>
      <c r="B27" s="20"/>
      <c r="C27" s="156"/>
      <c r="D27" s="6"/>
      <c r="E27" s="6"/>
      <c r="F27" s="6"/>
      <c r="G27" s="6"/>
      <c r="H27" s="6"/>
      <c r="I27" s="20"/>
      <c r="J27" s="55"/>
      <c r="K27" s="10"/>
      <c r="L27" s="56"/>
      <c r="M27" s="27"/>
      <c r="N27" s="26"/>
      <c r="O27" s="27"/>
      <c r="V27" s="79">
        <v>12.8</v>
      </c>
      <c r="X27" s="79">
        <v>12.8</v>
      </c>
      <c r="Z27" s="79"/>
      <c r="AA27" s="79"/>
      <c r="AB27" s="79"/>
    </row>
    <row r="28" spans="1:30" ht="14.25" customHeight="1" x14ac:dyDescent="0.35">
      <c r="A28" s="22"/>
      <c r="B28" s="20"/>
      <c r="C28" s="6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  <c r="V28" s="79"/>
      <c r="X28" s="79"/>
      <c r="Z28" s="79"/>
      <c r="AA28" s="79"/>
      <c r="AB28" s="79"/>
    </row>
    <row r="29" spans="1:30" ht="14.25" customHeight="1" x14ac:dyDescent="0.35">
      <c r="A29" s="22"/>
      <c r="B29" s="20"/>
      <c r="C29" s="6"/>
      <c r="D29" s="6"/>
      <c r="E29" s="6"/>
      <c r="F29" s="6"/>
      <c r="G29" s="6"/>
      <c r="H29" s="6"/>
      <c r="I29" s="20"/>
      <c r="J29" s="21"/>
      <c r="K29" s="6"/>
      <c r="L29" s="26"/>
      <c r="M29" s="27"/>
      <c r="N29" s="26"/>
      <c r="O29" s="27"/>
      <c r="V29" s="79"/>
      <c r="X29" s="79"/>
      <c r="Z29" s="79"/>
      <c r="AA29" s="79"/>
      <c r="AB29" s="79"/>
    </row>
    <row r="30" spans="1:30" ht="14.25" customHeight="1" x14ac:dyDescent="0.35">
      <c r="A30" s="22"/>
      <c r="B30" s="20"/>
      <c r="C30" s="82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  <c r="T30" s="79">
        <v>34</v>
      </c>
      <c r="V30" s="79"/>
      <c r="X30" s="79"/>
      <c r="Z30" s="79"/>
      <c r="AA30" s="79"/>
      <c r="AB30" s="79"/>
    </row>
    <row r="31" spans="1:30" ht="14.25" customHeight="1" x14ac:dyDescent="0.35">
      <c r="A31" s="22"/>
      <c r="B31" s="20"/>
      <c r="C31" s="82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  <c r="Z31" s="79"/>
      <c r="AA31" s="79"/>
      <c r="AB31" s="79"/>
    </row>
    <row r="32" spans="1:30" ht="14.25" customHeight="1" x14ac:dyDescent="0.35">
      <c r="A32" s="22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  <c r="Z32" s="79"/>
      <c r="AA32" s="79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1845</v>
      </c>
    </row>
    <row r="55" spans="1:15" ht="14.25" customHeight="1" x14ac:dyDescent="0.35">
      <c r="A55" s="10" t="s">
        <v>388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529D-F264-45BB-B023-9B599581ACD8}">
  <sheetPr codeName="Sheet33"/>
  <dimension ref="A1:AI1003"/>
  <sheetViews>
    <sheetView topLeftCell="D38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389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368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390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6</v>
      </c>
      <c r="J23" s="55" t="s">
        <v>47</v>
      </c>
      <c r="K23" s="10"/>
      <c r="L23" s="77">
        <v>1710</v>
      </c>
      <c r="M23" s="78"/>
      <c r="N23" s="56"/>
      <c r="O23" s="78">
        <f>SUM(I23*L23)</f>
        <v>10260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2610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16036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391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8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6F2D-15B6-446A-883A-21499A30D1AC}">
  <sheetPr codeName="Sheet34"/>
  <dimension ref="A1:R1000"/>
  <sheetViews>
    <sheetView topLeftCell="A10" workbookViewId="0">
      <selection activeCell="R26" sqref="R26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08203125" customWidth="1"/>
    <col min="18" max="18" width="7.75" style="66" customWidth="1"/>
    <col min="19" max="1025" width="12.83203125" customWidth="1"/>
    <col min="1026" max="102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392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393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395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399</v>
      </c>
      <c r="O17" s="10"/>
      <c r="R17" s="64"/>
    </row>
    <row r="18" spans="1:18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  <c r="R21" s="183" t="s">
        <v>402</v>
      </c>
    </row>
    <row r="22" spans="1:18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403</v>
      </c>
      <c r="R22" s="72" t="s">
        <v>163</v>
      </c>
    </row>
    <row r="23" spans="1:18" ht="14.25" customHeight="1" x14ac:dyDescent="0.35">
      <c r="A23" s="76">
        <v>1</v>
      </c>
      <c r="B23" s="54"/>
      <c r="C23" s="10" t="s">
        <v>46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173">
        <v>1822.5</v>
      </c>
      <c r="M23" s="78"/>
      <c r="N23" s="56"/>
      <c r="O23" s="78">
        <f>SUM(I23*L23)</f>
        <v>1822.5</v>
      </c>
      <c r="Q23" s="79">
        <v>8.1</v>
      </c>
      <c r="R23" s="80">
        <v>8.6999999999999993</v>
      </c>
    </row>
    <row r="24" spans="1:18" ht="14.25" customHeight="1" x14ac:dyDescent="0.35">
      <c r="A24" s="76">
        <v>2</v>
      </c>
      <c r="B24" s="54"/>
      <c r="C24" s="10" t="s">
        <v>209</v>
      </c>
      <c r="D24" s="6"/>
      <c r="E24" s="6"/>
      <c r="F24" s="6"/>
      <c r="G24" s="6"/>
      <c r="H24" s="6"/>
      <c r="I24" s="20">
        <v>1</v>
      </c>
      <c r="J24" s="21" t="s">
        <v>49</v>
      </c>
      <c r="K24" s="6"/>
      <c r="L24" s="26">
        <v>207</v>
      </c>
      <c r="M24" s="78"/>
      <c r="N24" s="56"/>
      <c r="O24" s="78">
        <f t="shared" ref="O24:O26" si="0">SUM(I24*L24)</f>
        <v>207</v>
      </c>
      <c r="Q24" s="79">
        <v>6.9</v>
      </c>
      <c r="R24" s="80">
        <v>7</v>
      </c>
    </row>
    <row r="25" spans="1:18" ht="14.25" customHeight="1" x14ac:dyDescent="0.35">
      <c r="A25" s="76">
        <v>3</v>
      </c>
      <c r="B25" s="54"/>
      <c r="C25" s="10" t="s">
        <v>58</v>
      </c>
      <c r="D25" s="10"/>
      <c r="E25" s="10"/>
      <c r="F25" s="10"/>
      <c r="G25" s="10"/>
      <c r="H25" s="10"/>
      <c r="I25" s="54">
        <v>12</v>
      </c>
      <c r="J25" s="55" t="s">
        <v>87</v>
      </c>
      <c r="K25" s="10"/>
      <c r="L25" s="56">
        <v>60</v>
      </c>
      <c r="M25" s="78"/>
      <c r="N25" s="56"/>
      <c r="O25" s="78">
        <f t="shared" si="0"/>
        <v>720</v>
      </c>
      <c r="R25" s="80">
        <v>120</v>
      </c>
    </row>
    <row r="26" spans="1:18" ht="14.25" customHeight="1" x14ac:dyDescent="0.35">
      <c r="A26" s="76">
        <v>4</v>
      </c>
      <c r="B26" s="54"/>
      <c r="C26" s="184" t="s">
        <v>239</v>
      </c>
      <c r="D26" s="10"/>
      <c r="E26" s="10"/>
      <c r="F26" s="10"/>
      <c r="G26" s="10"/>
      <c r="H26" s="10"/>
      <c r="I26" s="54">
        <v>6</v>
      </c>
      <c r="J26" s="55" t="s">
        <v>51</v>
      </c>
      <c r="K26" s="10"/>
      <c r="L26" s="56">
        <v>62.5</v>
      </c>
      <c r="M26" s="78"/>
      <c r="N26" s="56"/>
      <c r="O26" s="78">
        <f t="shared" si="0"/>
        <v>375</v>
      </c>
    </row>
    <row r="27" spans="1:18" ht="14.25" customHeight="1" x14ac:dyDescent="0.35">
      <c r="A27" s="76"/>
      <c r="B27" s="54"/>
      <c r="C27" s="184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</row>
    <row r="28" spans="1:18" ht="14.25" customHeight="1" x14ac:dyDescent="0.35">
      <c r="A28" s="76"/>
      <c r="B28" s="54"/>
      <c r="C28" s="184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18" ht="14.25" customHeight="1" x14ac:dyDescent="0.35">
      <c r="A29" s="76"/>
      <c r="B29" s="54"/>
      <c r="C29" s="184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18" ht="14.25" customHeight="1" x14ac:dyDescent="0.35">
      <c r="A30" s="76"/>
      <c r="B30" s="54"/>
      <c r="C30" s="184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18" ht="14.25" customHeight="1" x14ac:dyDescent="0.35">
      <c r="A31" s="76"/>
      <c r="B31" s="54"/>
      <c r="C31" s="16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8" ht="14.25" customHeight="1" x14ac:dyDescent="0.35">
      <c r="A32" s="76"/>
      <c r="B32" s="54"/>
      <c r="C32" s="16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6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3124.5</v>
      </c>
    </row>
    <row r="55" spans="1:15" ht="14.25" customHeight="1" x14ac:dyDescent="0.35">
      <c r="A55" s="10" t="s">
        <v>404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8858-197D-40D0-A7E5-CCD10DF485F7}">
  <sheetPr codeName="Sheet35"/>
  <dimension ref="A1:R1000"/>
  <sheetViews>
    <sheetView topLeftCell="A22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9.75" bestFit="1" customWidth="1"/>
    <col min="18" max="18" width="7.4140625" bestFit="1" customWidth="1"/>
    <col min="19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405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406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407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408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409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410</v>
      </c>
      <c r="O17" s="10"/>
      <c r="Q17" s="10"/>
    </row>
    <row r="18" spans="1:18" ht="14.25" customHeight="1" x14ac:dyDescent="0.35">
      <c r="A18" s="10" t="s">
        <v>27</v>
      </c>
      <c r="B18" s="10" t="s">
        <v>7</v>
      </c>
      <c r="C18" s="7" t="s">
        <v>411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10" t="s">
        <v>412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18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02" t="s">
        <v>34</v>
      </c>
      <c r="R22" s="66"/>
    </row>
    <row r="23" spans="1:18" ht="14.25" customHeight="1" x14ac:dyDescent="0.35">
      <c r="A23" s="76">
        <v>1</v>
      </c>
      <c r="B23" s="54"/>
      <c r="C23" s="48" t="s">
        <v>79</v>
      </c>
      <c r="D23" s="6"/>
      <c r="E23" s="6"/>
      <c r="F23" s="6"/>
      <c r="G23" s="6"/>
      <c r="H23" s="6"/>
      <c r="I23" s="20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174">
        <v>8.1</v>
      </c>
      <c r="R23" s="79"/>
    </row>
    <row r="24" spans="1:18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2</v>
      </c>
      <c r="J24" s="55" t="s">
        <v>49</v>
      </c>
      <c r="K24" s="10"/>
      <c r="L24" s="56">
        <v>219</v>
      </c>
      <c r="M24" s="78"/>
      <c r="N24" s="56"/>
      <c r="O24" s="78">
        <f t="shared" ref="O24:O33" si="0">SUM(I24*L24)</f>
        <v>438</v>
      </c>
      <c r="Q24" s="174">
        <v>7.3</v>
      </c>
      <c r="R24" s="79"/>
    </row>
    <row r="25" spans="1:18" ht="14.25" customHeight="1" x14ac:dyDescent="0.35">
      <c r="A25" s="76">
        <v>3</v>
      </c>
      <c r="B25" s="54"/>
      <c r="C25" s="10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120</v>
      </c>
      <c r="M25" s="78"/>
      <c r="N25" s="56"/>
      <c r="O25" s="78">
        <f t="shared" si="0"/>
        <v>120</v>
      </c>
      <c r="Q25" s="175">
        <v>120</v>
      </c>
      <c r="R25" s="79"/>
    </row>
    <row r="26" spans="1:18" ht="14.25" customHeight="1" x14ac:dyDescent="0.35">
      <c r="A26" s="76">
        <v>4</v>
      </c>
      <c r="B26" s="54"/>
      <c r="C26" s="10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275</v>
      </c>
      <c r="M26" s="78"/>
      <c r="N26" s="56"/>
      <c r="O26" s="78">
        <f t="shared" si="0"/>
        <v>275</v>
      </c>
      <c r="Q26" s="175">
        <v>12.5</v>
      </c>
      <c r="R26" s="79"/>
    </row>
    <row r="27" spans="1:18" ht="14.25" customHeight="1" x14ac:dyDescent="0.35">
      <c r="A27" s="76">
        <v>5</v>
      </c>
      <c r="B27" s="54"/>
      <c r="C27" s="6" t="s">
        <v>58</v>
      </c>
      <c r="D27" s="6"/>
      <c r="E27" s="6"/>
      <c r="F27" s="6"/>
      <c r="G27" s="6"/>
      <c r="H27" s="6"/>
      <c r="I27" s="20">
        <v>2</v>
      </c>
      <c r="J27" s="55" t="s">
        <v>87</v>
      </c>
      <c r="K27" s="10"/>
      <c r="L27" s="56">
        <v>60</v>
      </c>
      <c r="M27" s="78"/>
      <c r="N27" s="56"/>
      <c r="O27" s="78">
        <f t="shared" si="0"/>
        <v>120</v>
      </c>
      <c r="Q27" s="174">
        <v>60</v>
      </c>
      <c r="R27" s="79"/>
    </row>
    <row r="28" spans="1:18" ht="14.25" customHeight="1" x14ac:dyDescent="0.35">
      <c r="A28" s="76">
        <v>6</v>
      </c>
      <c r="B28" s="54"/>
      <c r="C28" s="6" t="s">
        <v>82</v>
      </c>
      <c r="D28" s="10"/>
      <c r="E28" s="10"/>
      <c r="F28" s="10"/>
      <c r="G28" s="10"/>
      <c r="H28" s="10"/>
      <c r="I28" s="54">
        <v>2</v>
      </c>
      <c r="J28" s="55" t="s">
        <v>51</v>
      </c>
      <c r="K28" s="10"/>
      <c r="L28" s="56">
        <v>62.5</v>
      </c>
      <c r="M28" s="78"/>
      <c r="N28" s="56"/>
      <c r="O28" s="78">
        <f t="shared" si="0"/>
        <v>125</v>
      </c>
      <c r="Q28" s="174">
        <v>2.5</v>
      </c>
      <c r="R28" s="79"/>
    </row>
    <row r="29" spans="1:18" ht="14.25" customHeight="1" x14ac:dyDescent="0.35">
      <c r="A29" s="76">
        <v>7</v>
      </c>
      <c r="B29" s="54"/>
      <c r="C29" s="33" t="s">
        <v>413</v>
      </c>
      <c r="D29" s="10"/>
      <c r="E29" s="10"/>
      <c r="F29" s="10"/>
      <c r="G29" s="10"/>
      <c r="H29" s="10"/>
      <c r="I29" s="54">
        <v>1</v>
      </c>
      <c r="J29" s="55" t="s">
        <v>55</v>
      </c>
      <c r="K29" s="10"/>
      <c r="L29" s="56">
        <v>120</v>
      </c>
      <c r="M29" s="78"/>
      <c r="N29" s="56"/>
      <c r="O29" s="78">
        <f t="shared" si="0"/>
        <v>120</v>
      </c>
      <c r="Q29" s="174"/>
      <c r="R29" s="79"/>
    </row>
    <row r="30" spans="1:18" ht="14.25" customHeight="1" x14ac:dyDescent="0.35">
      <c r="A30" s="76">
        <v>8</v>
      </c>
      <c r="B30" s="54"/>
      <c r="C30" s="10" t="s">
        <v>414</v>
      </c>
      <c r="D30" s="10"/>
      <c r="E30" s="10"/>
      <c r="F30" s="10"/>
      <c r="G30" s="10"/>
      <c r="H30" s="10"/>
      <c r="I30" s="54">
        <v>8</v>
      </c>
      <c r="J30" s="55" t="s">
        <v>415</v>
      </c>
      <c r="K30" s="10"/>
      <c r="L30" s="56">
        <v>5</v>
      </c>
      <c r="M30" s="78"/>
      <c r="N30" s="56"/>
      <c r="O30" s="78">
        <f t="shared" si="0"/>
        <v>40</v>
      </c>
      <c r="Q30" s="174"/>
      <c r="R30" s="79"/>
    </row>
    <row r="31" spans="1:18" ht="14.25" customHeight="1" x14ac:dyDescent="0.35">
      <c r="A31" s="76">
        <v>9</v>
      </c>
      <c r="B31" s="54"/>
      <c r="C31" s="10" t="s">
        <v>416</v>
      </c>
      <c r="D31" s="10"/>
      <c r="E31" s="10"/>
      <c r="F31" s="10"/>
      <c r="G31" s="10"/>
      <c r="H31" s="10"/>
      <c r="I31" s="54">
        <v>1</v>
      </c>
      <c r="J31" s="55" t="s">
        <v>84</v>
      </c>
      <c r="K31" s="10"/>
      <c r="L31" s="56">
        <v>110</v>
      </c>
      <c r="M31" s="78"/>
      <c r="N31" s="56"/>
      <c r="O31" s="78">
        <f t="shared" si="0"/>
        <v>110</v>
      </c>
      <c r="Q31" s="174"/>
      <c r="R31" s="79"/>
    </row>
    <row r="32" spans="1:18" ht="14.25" customHeight="1" x14ac:dyDescent="0.35">
      <c r="A32" s="76">
        <v>10</v>
      </c>
      <c r="B32" s="54"/>
      <c r="C32" s="10" t="s">
        <v>417</v>
      </c>
      <c r="D32" s="10"/>
      <c r="E32" s="10"/>
      <c r="F32" s="10"/>
      <c r="G32" s="10"/>
      <c r="H32" s="10"/>
      <c r="I32" s="54">
        <v>1</v>
      </c>
      <c r="J32" s="55" t="s">
        <v>84</v>
      </c>
      <c r="K32" s="10"/>
      <c r="L32" s="56">
        <v>160</v>
      </c>
      <c r="M32" s="78"/>
      <c r="N32" s="56"/>
      <c r="O32" s="78">
        <f t="shared" si="0"/>
        <v>160</v>
      </c>
      <c r="Q32" s="174"/>
      <c r="R32" s="79"/>
    </row>
    <row r="33" spans="1:18" ht="14.25" customHeight="1" x14ac:dyDescent="0.35">
      <c r="A33" s="76">
        <v>11</v>
      </c>
      <c r="B33" s="54"/>
      <c r="C33" s="10" t="s">
        <v>418</v>
      </c>
      <c r="D33" s="10"/>
      <c r="E33" s="10"/>
      <c r="F33" s="10"/>
      <c r="G33" s="10"/>
      <c r="H33" s="10"/>
      <c r="I33" s="54">
        <v>1</v>
      </c>
      <c r="J33" s="55" t="s">
        <v>84</v>
      </c>
      <c r="K33" s="10"/>
      <c r="L33" s="56">
        <v>66</v>
      </c>
      <c r="M33" s="78"/>
      <c r="N33" s="56"/>
      <c r="O33" s="78">
        <f t="shared" si="0"/>
        <v>66</v>
      </c>
      <c r="Q33" s="174"/>
      <c r="R33" s="79"/>
    </row>
    <row r="34" spans="1:18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Q34" s="79"/>
    </row>
    <row r="35" spans="1:18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Q35" s="79"/>
    </row>
    <row r="36" spans="1:18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8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8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8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8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8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8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8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8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8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8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8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8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3396.5</v>
      </c>
    </row>
    <row r="55" spans="1:15" ht="14.25" customHeight="1" x14ac:dyDescent="0.35">
      <c r="A55" s="10" t="s">
        <v>419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8B65-F43B-4320-80A0-8BFC64192A05}">
  <sheetPr codeName="Sheet36"/>
  <dimension ref="A1:AI1003"/>
  <sheetViews>
    <sheetView topLeftCell="D39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461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462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463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4</v>
      </c>
      <c r="J23" s="55" t="s">
        <v>47</v>
      </c>
      <c r="K23" s="10"/>
      <c r="L23" s="77">
        <v>1710</v>
      </c>
      <c r="M23" s="78"/>
      <c r="N23" s="56"/>
      <c r="O23" s="78">
        <f>SUM(I23*L23)</f>
        <v>6840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12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2088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7</v>
      </c>
      <c r="J25" s="55" t="s">
        <v>49</v>
      </c>
      <c r="K25" s="10"/>
      <c r="L25" s="77">
        <v>207</v>
      </c>
      <c r="M25" s="78"/>
      <c r="N25" s="56"/>
      <c r="O25" s="78">
        <f t="shared" si="0"/>
        <v>1449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11837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464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54EC-1BE4-497C-AA07-384B2B3F52C9}">
  <sheetPr codeName="Sheet37"/>
  <dimension ref="A1:AB1000"/>
  <sheetViews>
    <sheetView topLeftCell="A34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9" width="5.08203125" style="29" customWidth="1"/>
    <col min="20" max="21" width="5.1640625" style="1" bestFit="1" customWidth="1"/>
    <col min="22" max="22" width="6.9140625" style="1" customWidth="1"/>
    <col min="23" max="23" width="8.83203125" style="1" customWidth="1"/>
    <col min="24" max="24" width="7.75" style="1" customWidth="1"/>
    <col min="25" max="25" width="7.6640625" style="1" customWidth="1"/>
    <col min="26" max="26" width="6.33203125" style="1" bestFit="1" customWidth="1"/>
    <col min="27" max="27" width="7.75" style="1" customWidth="1"/>
    <col min="28" max="28" width="5.1640625" style="1" bestFit="1" customWidth="1"/>
    <col min="29" max="1034" width="12.83203125" style="1" customWidth="1"/>
    <col min="1035" max="1035" width="8.6640625" style="1" customWidth="1"/>
    <col min="1036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15" t="s">
        <v>5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211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420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213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421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215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216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217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8" ht="14.25" customHeight="1" x14ac:dyDescent="0.35">
      <c r="A17" s="6"/>
      <c r="B17" s="6"/>
      <c r="C17" s="7" t="s">
        <v>218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422</v>
      </c>
      <c r="O17" s="6"/>
      <c r="AA17" s="6"/>
    </row>
    <row r="18" spans="1:28" ht="14.25" customHeight="1" x14ac:dyDescent="0.35">
      <c r="A18" s="6" t="s">
        <v>27</v>
      </c>
      <c r="B18" s="6" t="s">
        <v>7</v>
      </c>
      <c r="C18" s="7" t="s">
        <v>220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8" ht="14.25" customHeight="1" x14ac:dyDescent="0.35">
      <c r="A19" s="6" t="s">
        <v>29</v>
      </c>
      <c r="B19" s="6" t="s">
        <v>7</v>
      </c>
      <c r="C19" s="7" t="s">
        <v>221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8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8" ht="14.25" customHeight="1" x14ac:dyDescent="0.35">
      <c r="A21" s="13" t="s">
        <v>31</v>
      </c>
      <c r="B21" s="216" t="s">
        <v>32</v>
      </c>
      <c r="C21" s="216"/>
      <c r="D21" s="216"/>
      <c r="E21" s="216"/>
      <c r="F21" s="216"/>
      <c r="G21" s="216"/>
      <c r="H21" s="216"/>
      <c r="I21" s="217" t="s">
        <v>33</v>
      </c>
      <c r="J21" s="217"/>
      <c r="K21" s="14"/>
      <c r="L21" s="15" t="s">
        <v>34</v>
      </c>
      <c r="M21" s="16"/>
      <c r="N21" s="217" t="s">
        <v>35</v>
      </c>
      <c r="O21" s="217"/>
    </row>
    <row r="22" spans="1:28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59" t="s">
        <v>36</v>
      </c>
      <c r="R22" s="159" t="s">
        <v>37</v>
      </c>
      <c r="S22" s="159" t="s">
        <v>38</v>
      </c>
      <c r="T22" s="17" t="s">
        <v>101</v>
      </c>
      <c r="U22" s="12">
        <v>1125</v>
      </c>
      <c r="V22" s="28" t="s">
        <v>40</v>
      </c>
      <c r="W22" s="17" t="s">
        <v>185</v>
      </c>
      <c r="X22" s="12">
        <v>1124</v>
      </c>
      <c r="Y22" s="12">
        <v>1024</v>
      </c>
      <c r="Z22" s="12" t="s">
        <v>187</v>
      </c>
      <c r="AB22" s="12"/>
    </row>
    <row r="23" spans="1:28" ht="14.25" customHeight="1" x14ac:dyDescent="0.35">
      <c r="A23" s="22">
        <v>1</v>
      </c>
      <c r="B23" s="20"/>
      <c r="C23" s="48" t="s">
        <v>79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160">
        <v>1845</v>
      </c>
      <c r="M23" s="27"/>
      <c r="N23" s="26"/>
      <c r="O23" s="27">
        <f t="shared" ref="O23:O26" si="0">SUM(I23*L23)</f>
        <v>1845</v>
      </c>
      <c r="Q23" s="29">
        <v>8.1999999999999993</v>
      </c>
      <c r="R23" s="29">
        <v>8.6</v>
      </c>
      <c r="S23" s="29">
        <v>8.5</v>
      </c>
      <c r="T23" s="29">
        <v>8.1</v>
      </c>
      <c r="U23" s="18"/>
      <c r="V23" s="29">
        <v>7.5</v>
      </c>
      <c r="W23" s="29">
        <v>7.6</v>
      </c>
      <c r="X23" s="29">
        <v>7.8</v>
      </c>
      <c r="Y23" s="28">
        <v>7.9</v>
      </c>
      <c r="Z23" s="29">
        <v>8</v>
      </c>
      <c r="AA23" s="29">
        <v>7.9</v>
      </c>
      <c r="AB23" s="29"/>
    </row>
    <row r="24" spans="1:28" ht="14.25" customHeight="1" x14ac:dyDescent="0.35">
      <c r="A24" s="22">
        <v>2</v>
      </c>
      <c r="B24" s="20"/>
      <c r="C24" s="10" t="s">
        <v>52</v>
      </c>
      <c r="D24" s="6"/>
      <c r="E24" s="6"/>
      <c r="F24" s="6"/>
      <c r="G24" s="6"/>
      <c r="H24" s="6"/>
      <c r="I24" s="20">
        <v>1</v>
      </c>
      <c r="J24" s="21" t="s">
        <v>53</v>
      </c>
      <c r="K24" s="6"/>
      <c r="L24" s="26">
        <v>115</v>
      </c>
      <c r="M24" s="27"/>
      <c r="N24" s="26"/>
      <c r="O24" s="27">
        <f t="shared" si="0"/>
        <v>115</v>
      </c>
      <c r="T24" s="29"/>
      <c r="U24" s="29">
        <v>7.2</v>
      </c>
      <c r="AA24" s="29">
        <v>7.5</v>
      </c>
    </row>
    <row r="25" spans="1:28" ht="14.25" customHeight="1" x14ac:dyDescent="0.35">
      <c r="A25" s="22">
        <v>3</v>
      </c>
      <c r="B25" s="20"/>
      <c r="C25" s="10" t="s">
        <v>82</v>
      </c>
      <c r="D25" s="6"/>
      <c r="E25" s="6"/>
      <c r="F25" s="6"/>
      <c r="G25" s="6"/>
      <c r="H25" s="6"/>
      <c r="I25" s="20">
        <v>3</v>
      </c>
      <c r="J25" s="21" t="s">
        <v>51</v>
      </c>
      <c r="K25" s="6"/>
      <c r="L25" s="160">
        <v>62.5</v>
      </c>
      <c r="M25" s="27"/>
      <c r="N25" s="26"/>
      <c r="O25" s="27">
        <f t="shared" si="0"/>
        <v>187.5</v>
      </c>
      <c r="AA25" s="29"/>
    </row>
    <row r="26" spans="1:28" ht="14.25" customHeight="1" x14ac:dyDescent="0.35">
      <c r="A26" s="22">
        <v>4</v>
      </c>
      <c r="B26" s="20"/>
      <c r="C26" s="10" t="s">
        <v>423</v>
      </c>
      <c r="D26" s="6"/>
      <c r="E26" s="6"/>
      <c r="F26" s="6"/>
      <c r="G26" s="6"/>
      <c r="H26" s="6"/>
      <c r="I26" s="20">
        <v>1</v>
      </c>
      <c r="J26" s="21" t="s">
        <v>84</v>
      </c>
      <c r="K26" s="6"/>
      <c r="L26" s="160">
        <v>430</v>
      </c>
      <c r="M26" s="27"/>
      <c r="N26" s="26"/>
      <c r="O26" s="27">
        <f t="shared" si="0"/>
        <v>430</v>
      </c>
      <c r="AA26" s="29"/>
    </row>
    <row r="27" spans="1:28" ht="15.5" customHeight="1" x14ac:dyDescent="0.35">
      <c r="A27" s="22"/>
      <c r="B27" s="20"/>
      <c r="C27" s="10"/>
      <c r="D27" s="6"/>
      <c r="E27" s="6"/>
      <c r="F27" s="6"/>
      <c r="G27" s="6"/>
      <c r="H27" s="6"/>
      <c r="I27" s="20"/>
      <c r="J27" s="21"/>
      <c r="K27" s="6"/>
      <c r="L27" s="160"/>
      <c r="M27" s="27"/>
      <c r="N27" s="26"/>
      <c r="O27" s="27"/>
      <c r="AA27" s="29"/>
    </row>
    <row r="28" spans="1:28" ht="14.25" customHeight="1" x14ac:dyDescent="0.35">
      <c r="A28" s="22"/>
      <c r="B28" s="20"/>
      <c r="C28" s="10"/>
      <c r="D28" s="6"/>
      <c r="E28" s="6"/>
      <c r="F28" s="6"/>
      <c r="G28" s="6"/>
      <c r="H28" s="6"/>
      <c r="I28" s="20"/>
      <c r="J28" s="21"/>
      <c r="K28" s="6"/>
      <c r="L28" s="160"/>
      <c r="M28" s="27"/>
      <c r="N28" s="26"/>
      <c r="O28" s="27"/>
      <c r="AA28" s="29"/>
    </row>
    <row r="29" spans="1:28" ht="14.25" customHeight="1" x14ac:dyDescent="0.35">
      <c r="A29" s="22"/>
      <c r="B29" s="20"/>
      <c r="C29" s="10"/>
      <c r="D29" s="6"/>
      <c r="E29" s="6"/>
      <c r="F29" s="6"/>
      <c r="G29" s="6"/>
      <c r="H29" s="6"/>
      <c r="I29" s="20"/>
      <c r="J29" s="21"/>
      <c r="K29" s="6"/>
      <c r="L29" s="160"/>
      <c r="M29" s="27"/>
      <c r="N29" s="26"/>
      <c r="O29" s="27"/>
    </row>
    <row r="30" spans="1:28" ht="14.25" customHeight="1" x14ac:dyDescent="0.35">
      <c r="A30" s="22"/>
      <c r="B30" s="20"/>
      <c r="C30" s="161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28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28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5.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" hidden="1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" hidden="1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2577.5</v>
      </c>
    </row>
    <row r="55" spans="1:15" ht="14.25" customHeight="1" x14ac:dyDescent="0.35">
      <c r="A55" s="6" t="s">
        <v>424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94DA-41C5-46A9-9475-78A2B0AAECA0}">
  <sheetPr codeName="Sheet38"/>
  <dimension ref="A1:AI1003"/>
  <sheetViews>
    <sheetView topLeftCell="D37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425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421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426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3</v>
      </c>
      <c r="J23" s="55" t="s">
        <v>47</v>
      </c>
      <c r="K23" s="10"/>
      <c r="L23" s="77">
        <v>1710</v>
      </c>
      <c r="M23" s="78"/>
      <c r="N23" s="56"/>
      <c r="O23" s="78">
        <f>SUM(I23*L23)</f>
        <v>5130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9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1566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5</v>
      </c>
      <c r="J25" s="55" t="s">
        <v>49</v>
      </c>
      <c r="K25" s="10"/>
      <c r="L25" s="77">
        <v>207</v>
      </c>
      <c r="M25" s="78"/>
      <c r="N25" s="56"/>
      <c r="O25" s="78">
        <f t="shared" si="0"/>
        <v>1035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197</v>
      </c>
      <c r="D26" s="6"/>
      <c r="E26" s="6"/>
      <c r="F26" s="6"/>
      <c r="G26" s="6"/>
      <c r="H26" s="6"/>
      <c r="I26" s="20">
        <v>1</v>
      </c>
      <c r="J26" s="55" t="s">
        <v>55</v>
      </c>
      <c r="K26" s="10"/>
      <c r="L26" s="56">
        <v>1050</v>
      </c>
      <c r="M26" s="78"/>
      <c r="N26" s="56"/>
      <c r="O26" s="78">
        <f t="shared" si="0"/>
        <v>1050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8781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427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D11A-3C78-42FF-AF51-97B83C956C52}">
  <sheetPr codeName="Sheet39"/>
  <dimension ref="A1:AD1000"/>
  <sheetViews>
    <sheetView topLeftCell="A14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5" customWidth="1"/>
    <col min="18" max="18" width="8.25" customWidth="1"/>
    <col min="19" max="19" width="9.6640625" customWidth="1"/>
    <col min="20" max="20" width="8.08203125" customWidth="1"/>
    <col min="21" max="21" width="6.9140625" customWidth="1"/>
    <col min="22" max="22" width="7" customWidth="1"/>
    <col min="23" max="23" width="7.33203125" customWidth="1"/>
    <col min="24" max="24" width="8.33203125" customWidth="1"/>
    <col min="25" max="25" width="6.33203125" customWidth="1"/>
    <col min="26" max="26" width="7.9140625" customWidth="1"/>
    <col min="27" max="27" width="6.75" customWidth="1"/>
    <col min="28" max="28" width="7.75" customWidth="1"/>
    <col min="29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428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421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429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87" t="s">
        <v>403</v>
      </c>
      <c r="R22" s="72" t="s">
        <v>36</v>
      </c>
      <c r="S22" s="72" t="s">
        <v>163</v>
      </c>
      <c r="T22" s="72" t="s">
        <v>38</v>
      </c>
      <c r="U22" s="72" t="s">
        <v>101</v>
      </c>
      <c r="V22" s="72" t="s">
        <v>164</v>
      </c>
      <c r="W22" s="72" t="s">
        <v>117</v>
      </c>
      <c r="X22" s="72" t="s">
        <v>40</v>
      </c>
      <c r="Y22" s="72" t="s">
        <v>165</v>
      </c>
      <c r="AA22" t="s">
        <v>45</v>
      </c>
      <c r="AB22" t="s">
        <v>166</v>
      </c>
    </row>
    <row r="23" spans="1:30" ht="14.25" customHeight="1" x14ac:dyDescent="0.35">
      <c r="A23" s="76">
        <v>1</v>
      </c>
      <c r="B23" s="54"/>
      <c r="C23" s="3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1732.5</v>
      </c>
      <c r="M23" s="78"/>
      <c r="N23" s="56"/>
      <c r="O23" s="78">
        <f>SUM(I23*L23)</f>
        <v>1732.5</v>
      </c>
      <c r="Q23" s="79">
        <v>7.7</v>
      </c>
      <c r="R23" s="79">
        <v>8.1</v>
      </c>
      <c r="S23" s="79">
        <v>8.5</v>
      </c>
      <c r="T23" s="79">
        <v>8.5</v>
      </c>
      <c r="U23" s="79">
        <v>8.1</v>
      </c>
      <c r="V23" s="79">
        <v>7.5</v>
      </c>
      <c r="W23" s="79">
        <v>7.5</v>
      </c>
      <c r="X23" s="79">
        <v>7.6</v>
      </c>
      <c r="Z23" s="79">
        <v>7.9</v>
      </c>
      <c r="AA23" s="79">
        <v>8</v>
      </c>
      <c r="AB23" s="79">
        <v>7.9</v>
      </c>
      <c r="AC23" s="79">
        <v>8.3000000000000007</v>
      </c>
      <c r="AD23" s="79">
        <v>8.5</v>
      </c>
    </row>
    <row r="24" spans="1:30" ht="14.25" customHeight="1" x14ac:dyDescent="0.35">
      <c r="A24" s="76">
        <v>2</v>
      </c>
      <c r="B24" s="54"/>
      <c r="C24" s="30" t="s">
        <v>239</v>
      </c>
      <c r="D24" s="10"/>
      <c r="E24" s="10"/>
      <c r="F24" s="10"/>
      <c r="G24" s="10"/>
      <c r="H24" s="10"/>
      <c r="I24" s="54">
        <v>2</v>
      </c>
      <c r="J24" s="55" t="s">
        <v>51</v>
      </c>
      <c r="K24" s="10"/>
      <c r="L24" s="56">
        <v>62.5</v>
      </c>
      <c r="M24" s="78"/>
      <c r="N24" s="56"/>
      <c r="O24" s="78">
        <f>SUM(I24*L24)</f>
        <v>125</v>
      </c>
      <c r="Q24" s="79">
        <v>6.9</v>
      </c>
      <c r="S24" s="79">
        <v>7.5</v>
      </c>
      <c r="T24" s="79"/>
      <c r="X24" s="79">
        <v>7.3</v>
      </c>
      <c r="AB24" s="79"/>
    </row>
    <row r="25" spans="1:30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Q25" s="79">
        <v>5.5</v>
      </c>
      <c r="R25" s="79">
        <v>5.8</v>
      </c>
      <c r="T25" s="79"/>
      <c r="V25" s="79"/>
      <c r="X25" s="79"/>
      <c r="Y25" s="79"/>
      <c r="AB25" s="79"/>
    </row>
    <row r="26" spans="1:30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30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R27" s="79">
        <v>13.5</v>
      </c>
      <c r="T27" s="79">
        <v>14</v>
      </c>
      <c r="V27" s="79"/>
      <c r="X27" s="79"/>
      <c r="Y27" s="79">
        <v>13</v>
      </c>
      <c r="AB27" s="79"/>
    </row>
    <row r="28" spans="1:30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T28" s="79"/>
      <c r="V28">
        <v>32</v>
      </c>
      <c r="AB28" s="79"/>
    </row>
    <row r="29" spans="1:30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T29" s="79"/>
      <c r="V29" s="79"/>
      <c r="AB29" s="79">
        <v>31</v>
      </c>
    </row>
    <row r="30" spans="1:30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Y30" s="79"/>
      <c r="Z30" s="79"/>
    </row>
    <row r="31" spans="1:30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1857.5</v>
      </c>
    </row>
    <row r="55" spans="1:15" ht="14.25" customHeight="1" x14ac:dyDescent="0.35">
      <c r="A55" s="10" t="s">
        <v>430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D1D3-A0C1-44BF-AFB5-9B1F6AEFB339}">
  <sheetPr codeName="Sheet40"/>
  <dimension ref="A1:Z1000"/>
  <sheetViews>
    <sheetView topLeftCell="A16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6640625" customWidth="1"/>
    <col min="18" max="18" width="7" customWidth="1"/>
    <col min="19" max="19" width="7.6640625" customWidth="1"/>
    <col min="20" max="20" width="6.6640625" customWidth="1"/>
    <col min="21" max="21" width="8.5" customWidth="1"/>
    <col min="22" max="22" width="7.75" customWidth="1"/>
    <col min="23" max="23" width="8.4140625" customWidth="1"/>
    <col min="24" max="24" width="8.9140625" bestFit="1" customWidth="1"/>
    <col min="25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230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431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232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421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233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234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235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2" ht="14.25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432</v>
      </c>
      <c r="O17" s="10"/>
      <c r="V17" s="10"/>
    </row>
    <row r="18" spans="1:22" ht="14.25" customHeight="1" x14ac:dyDescent="0.35">
      <c r="A18" s="10" t="s">
        <v>27</v>
      </c>
      <c r="B18" s="10" t="s">
        <v>7</v>
      </c>
      <c r="C18" s="7" t="s">
        <v>237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2" ht="14.25" customHeight="1" x14ac:dyDescent="0.35">
      <c r="A19" s="10" t="s">
        <v>29</v>
      </c>
      <c r="B19" s="10" t="s">
        <v>7</v>
      </c>
      <c r="C19" s="7" t="s">
        <v>238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2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2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2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38</v>
      </c>
      <c r="S22" s="72" t="s">
        <v>101</v>
      </c>
      <c r="T22" s="66">
        <v>1125</v>
      </c>
    </row>
    <row r="23" spans="1:22" ht="14.25" customHeight="1" x14ac:dyDescent="0.35">
      <c r="A23" s="76">
        <v>1</v>
      </c>
      <c r="B23" s="54"/>
      <c r="C23" s="162" t="s">
        <v>126</v>
      </c>
      <c r="D23" s="10"/>
      <c r="E23" s="10"/>
      <c r="F23" s="10"/>
      <c r="G23" s="10"/>
      <c r="H23" s="10"/>
      <c r="I23" s="163">
        <v>1</v>
      </c>
      <c r="J23" s="164" t="s">
        <v>47</v>
      </c>
      <c r="K23" s="10"/>
      <c r="L23" s="56">
        <v>1845</v>
      </c>
      <c r="M23" s="78"/>
      <c r="N23" s="56"/>
      <c r="O23" s="78">
        <f>SUM(I23*L23)</f>
        <v>1845</v>
      </c>
      <c r="Q23" s="79">
        <v>8.1999999999999993</v>
      </c>
      <c r="R23" s="79">
        <v>8.5</v>
      </c>
      <c r="S23" s="79">
        <v>8.1</v>
      </c>
      <c r="T23">
        <v>7.3</v>
      </c>
      <c r="U23" s="79">
        <v>7.5</v>
      </c>
      <c r="V23" s="79">
        <v>7.8</v>
      </c>
    </row>
    <row r="24" spans="1:22" ht="14.25" customHeight="1" x14ac:dyDescent="0.35">
      <c r="A24" s="76">
        <v>2</v>
      </c>
      <c r="B24" s="54"/>
      <c r="C24" s="10" t="s">
        <v>58</v>
      </c>
      <c r="D24" s="10"/>
      <c r="E24" s="10"/>
      <c r="F24" s="10"/>
      <c r="G24" s="10"/>
      <c r="H24" s="10"/>
      <c r="I24" s="54">
        <v>1</v>
      </c>
      <c r="J24" s="55" t="s">
        <v>84</v>
      </c>
      <c r="K24" s="10"/>
      <c r="L24" s="56">
        <v>60</v>
      </c>
      <c r="M24" s="78"/>
      <c r="N24" s="56"/>
      <c r="O24" s="78">
        <f t="shared" ref="O24:O26" si="0">SUM(I24*L24)</f>
        <v>60</v>
      </c>
      <c r="T24">
        <v>7.2</v>
      </c>
      <c r="V24" s="79"/>
    </row>
    <row r="25" spans="1:22" ht="14.25" customHeight="1" x14ac:dyDescent="0.35">
      <c r="A25" s="76">
        <v>3</v>
      </c>
      <c r="B25" s="54"/>
      <c r="C25" s="10" t="s">
        <v>52</v>
      </c>
      <c r="D25" s="10"/>
      <c r="E25" s="10"/>
      <c r="F25" s="10"/>
      <c r="G25" s="10"/>
      <c r="H25" s="10"/>
      <c r="I25" s="54">
        <v>2</v>
      </c>
      <c r="J25" s="55" t="s">
        <v>53</v>
      </c>
      <c r="K25" s="10"/>
      <c r="L25" s="56">
        <v>115</v>
      </c>
      <c r="M25" s="78"/>
      <c r="N25" s="56"/>
      <c r="O25" s="78">
        <f t="shared" si="0"/>
        <v>230</v>
      </c>
      <c r="V25" s="79">
        <v>2.6</v>
      </c>
    </row>
    <row r="26" spans="1:22" ht="14.25" customHeight="1" x14ac:dyDescent="0.35">
      <c r="A26" s="76">
        <v>4</v>
      </c>
      <c r="B26" s="54"/>
      <c r="C26" s="10" t="s">
        <v>239</v>
      </c>
      <c r="D26" s="10"/>
      <c r="E26" s="10"/>
      <c r="F26" s="10"/>
      <c r="G26" s="10"/>
      <c r="H26" s="10"/>
      <c r="I26" s="54">
        <v>2</v>
      </c>
      <c r="J26" s="55" t="s">
        <v>51</v>
      </c>
      <c r="K26" s="10"/>
      <c r="L26" s="56">
        <v>62.5</v>
      </c>
      <c r="M26" s="78"/>
      <c r="N26" s="56"/>
      <c r="O26" s="78">
        <f t="shared" si="0"/>
        <v>125</v>
      </c>
      <c r="V26" s="79"/>
    </row>
    <row r="27" spans="1:22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54"/>
      <c r="J27" s="55"/>
      <c r="K27" s="10"/>
      <c r="L27" s="165"/>
      <c r="M27" s="78"/>
      <c r="N27" s="56"/>
      <c r="O27" s="78"/>
      <c r="V27" s="79"/>
    </row>
    <row r="28" spans="1:22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166"/>
      <c r="M28" s="78"/>
      <c r="N28" s="56"/>
      <c r="O28" s="167"/>
    </row>
    <row r="29" spans="1:22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2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2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2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26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26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26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26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26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6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6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6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6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6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Y42" s="132"/>
      <c r="Z42" s="132"/>
    </row>
    <row r="43" spans="1:26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Y43" s="132"/>
      <c r="Z43" s="132"/>
    </row>
    <row r="44" spans="1:26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Y44" s="132"/>
      <c r="Z44" s="132"/>
    </row>
    <row r="45" spans="1:26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Y45" s="132"/>
      <c r="Z45" s="132"/>
    </row>
    <row r="46" spans="1:26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Y46" s="132"/>
      <c r="Z46" s="132"/>
    </row>
    <row r="47" spans="1:26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Y47" s="132"/>
      <c r="Z47" s="132"/>
    </row>
    <row r="48" spans="1:26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V48" s="168"/>
    </row>
    <row r="49" spans="1:24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V49" s="168"/>
    </row>
    <row r="50" spans="1:24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V50" s="90"/>
    </row>
    <row r="51" spans="1:24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V51" s="90"/>
    </row>
    <row r="52" spans="1:24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V52" s="90"/>
    </row>
    <row r="53" spans="1:24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V53" s="90"/>
    </row>
    <row r="54" spans="1:24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2260</v>
      </c>
      <c r="V54" s="66"/>
      <c r="W54" s="169"/>
      <c r="X54" s="66"/>
    </row>
    <row r="55" spans="1:24" ht="14.25" customHeight="1" x14ac:dyDescent="0.35">
      <c r="A55" s="10" t="s">
        <v>433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90"/>
      <c r="W55" s="146"/>
      <c r="X55" s="132"/>
    </row>
    <row r="56" spans="1:24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68"/>
      <c r="W56" s="146"/>
      <c r="X56" s="132"/>
    </row>
    <row r="57" spans="1:24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X57" s="132"/>
    </row>
    <row r="58" spans="1:24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24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24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24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24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24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24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4F98-D1E6-4CC8-B66F-4C2EFD7383B9}">
  <sheetPr codeName="Sheet41"/>
  <dimension ref="A1:AI1003"/>
  <sheetViews>
    <sheetView topLeftCell="A16" zoomScaleNormal="100" workbookViewId="0">
      <selection activeCell="C26" sqref="C26:L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434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435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436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3</v>
      </c>
      <c r="J23" s="55" t="s">
        <v>47</v>
      </c>
      <c r="K23" s="10"/>
      <c r="L23" s="77">
        <v>1710</v>
      </c>
      <c r="M23" s="78"/>
      <c r="N23" s="56"/>
      <c r="O23" s="78">
        <f>SUM(I23*L23)</f>
        <v>5130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9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1566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5</v>
      </c>
      <c r="J25" s="55" t="s">
        <v>49</v>
      </c>
      <c r="K25" s="10"/>
      <c r="L25" s="77">
        <v>207</v>
      </c>
      <c r="M25" s="78"/>
      <c r="N25" s="56"/>
      <c r="O25" s="78">
        <f t="shared" si="0"/>
        <v>1035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197</v>
      </c>
      <c r="D26" s="6"/>
      <c r="E26" s="6"/>
      <c r="F26" s="6"/>
      <c r="G26" s="6"/>
      <c r="H26" s="6"/>
      <c r="I26" s="20">
        <v>1</v>
      </c>
      <c r="J26" s="55" t="s">
        <v>55</v>
      </c>
      <c r="K26" s="10"/>
      <c r="L26" s="56">
        <v>1050</v>
      </c>
      <c r="M26" s="78"/>
      <c r="N26" s="56"/>
      <c r="O26" s="78">
        <f t="shared" si="0"/>
        <v>1050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8781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427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70DF-E716-43A8-AEE3-13BB669F32DC}">
  <sheetPr codeName="Sheet42"/>
  <dimension ref="A1:AD1000"/>
  <sheetViews>
    <sheetView topLeftCell="A11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5" customWidth="1"/>
    <col min="18" max="18" width="8.25" customWidth="1"/>
    <col min="19" max="19" width="9.6640625" customWidth="1"/>
    <col min="20" max="20" width="8.08203125" customWidth="1"/>
    <col min="21" max="21" width="6.9140625" customWidth="1"/>
    <col min="22" max="22" width="7" customWidth="1"/>
    <col min="23" max="23" width="7.33203125" customWidth="1"/>
    <col min="24" max="24" width="8.33203125" customWidth="1"/>
    <col min="25" max="25" width="6.33203125" customWidth="1"/>
    <col min="26" max="26" width="7.9140625" customWidth="1"/>
    <col min="27" max="27" width="6.75" customWidth="1"/>
    <col min="28" max="28" width="7.75" customWidth="1"/>
    <col min="29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437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435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438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87" t="s">
        <v>403</v>
      </c>
      <c r="R22" s="72" t="s">
        <v>36</v>
      </c>
      <c r="S22" s="72" t="s">
        <v>163</v>
      </c>
      <c r="T22" s="72" t="s">
        <v>38</v>
      </c>
      <c r="U22" s="72" t="s">
        <v>101</v>
      </c>
      <c r="V22" s="72" t="s">
        <v>164</v>
      </c>
      <c r="W22" s="72" t="s">
        <v>117</v>
      </c>
      <c r="X22" s="72" t="s">
        <v>40</v>
      </c>
      <c r="Y22" s="72" t="s">
        <v>165</v>
      </c>
      <c r="AA22" t="s">
        <v>45</v>
      </c>
      <c r="AB22" t="s">
        <v>166</v>
      </c>
    </row>
    <row r="23" spans="1:30" ht="14.25" customHeight="1" x14ac:dyDescent="0.35">
      <c r="A23" s="76">
        <v>1</v>
      </c>
      <c r="B23" s="54"/>
      <c r="C23" s="3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1732.5</v>
      </c>
      <c r="M23" s="78"/>
      <c r="N23" s="56"/>
      <c r="O23" s="78">
        <f>SUM(I23*L23)</f>
        <v>1732.5</v>
      </c>
      <c r="Q23" s="79">
        <v>7.7</v>
      </c>
      <c r="R23" s="79">
        <v>8.1</v>
      </c>
      <c r="S23" s="79">
        <v>8.5</v>
      </c>
      <c r="T23" s="79">
        <v>8.5</v>
      </c>
      <c r="U23" s="79">
        <v>8.1</v>
      </c>
      <c r="V23" s="79">
        <v>7.5</v>
      </c>
      <c r="W23" s="79">
        <v>7.5</v>
      </c>
      <c r="X23" s="79">
        <v>7.6</v>
      </c>
      <c r="Z23" s="79">
        <v>7.9</v>
      </c>
      <c r="AA23" s="79">
        <v>8</v>
      </c>
      <c r="AB23" s="79">
        <v>7.9</v>
      </c>
      <c r="AC23" s="79">
        <v>8.3000000000000007</v>
      </c>
      <c r="AD23" s="79">
        <v>8.5</v>
      </c>
    </row>
    <row r="24" spans="1:30" ht="14.25" customHeight="1" x14ac:dyDescent="0.35">
      <c r="A24" s="76">
        <v>2</v>
      </c>
      <c r="B24" s="54"/>
      <c r="C24" s="30" t="s">
        <v>129</v>
      </c>
      <c r="D24" s="10"/>
      <c r="E24" s="10"/>
      <c r="F24" s="10"/>
      <c r="G24" s="10"/>
      <c r="H24" s="10"/>
      <c r="I24" s="54">
        <v>2</v>
      </c>
      <c r="J24" s="55" t="s">
        <v>49</v>
      </c>
      <c r="K24" s="10"/>
      <c r="L24" s="56">
        <v>247.5</v>
      </c>
      <c r="M24" s="78"/>
      <c r="N24" s="56"/>
      <c r="O24" s="78">
        <f t="shared" ref="O24:O28" si="0">SUM(I24*L24)</f>
        <v>495</v>
      </c>
      <c r="Q24" s="79">
        <v>6.9</v>
      </c>
      <c r="S24" s="79">
        <v>7.5</v>
      </c>
      <c r="T24" s="79"/>
      <c r="X24" s="79">
        <v>7.3</v>
      </c>
      <c r="AB24" s="79"/>
    </row>
    <row r="25" spans="1:30" ht="14.25" customHeight="1" x14ac:dyDescent="0.35">
      <c r="A25" s="76">
        <v>3</v>
      </c>
      <c r="B25" s="54"/>
      <c r="C25" s="10" t="s">
        <v>167</v>
      </c>
      <c r="D25" s="6"/>
      <c r="E25" s="6"/>
      <c r="F25" s="6"/>
      <c r="G25" s="6"/>
      <c r="H25" s="6"/>
      <c r="I25" s="20">
        <v>2</v>
      </c>
      <c r="J25" s="55" t="s">
        <v>84</v>
      </c>
      <c r="K25" s="10"/>
      <c r="L25" s="56">
        <v>160</v>
      </c>
      <c r="M25" s="78"/>
      <c r="N25" s="56"/>
      <c r="O25" s="78">
        <f t="shared" si="0"/>
        <v>320</v>
      </c>
      <c r="Q25" s="79">
        <v>5.5</v>
      </c>
      <c r="R25" s="79">
        <v>5.8</v>
      </c>
      <c r="T25" s="79"/>
      <c r="V25" s="79"/>
      <c r="X25" s="79"/>
      <c r="Y25" s="79"/>
      <c r="AB25" s="79"/>
    </row>
    <row r="26" spans="1:30" ht="14.25" customHeight="1" x14ac:dyDescent="0.35">
      <c r="A26" s="76">
        <v>4</v>
      </c>
      <c r="B26" s="54"/>
      <c r="C26" s="6" t="s">
        <v>81</v>
      </c>
      <c r="D26" s="10"/>
      <c r="E26" s="10"/>
      <c r="F26" s="10"/>
      <c r="G26" s="10"/>
      <c r="H26" s="10"/>
      <c r="I26" s="54">
        <v>2</v>
      </c>
      <c r="J26" s="55" t="s">
        <v>55</v>
      </c>
      <c r="K26" s="10"/>
      <c r="L26" s="56">
        <v>297</v>
      </c>
      <c r="M26" s="78"/>
      <c r="N26" s="56"/>
      <c r="O26" s="78">
        <f t="shared" si="0"/>
        <v>594</v>
      </c>
    </row>
    <row r="27" spans="1:30" ht="14.25" customHeight="1" x14ac:dyDescent="0.35">
      <c r="A27" s="76">
        <v>5</v>
      </c>
      <c r="B27" s="54"/>
      <c r="C27" s="6" t="s">
        <v>239</v>
      </c>
      <c r="D27" s="6"/>
      <c r="E27" s="6"/>
      <c r="F27" s="6"/>
      <c r="G27" s="6"/>
      <c r="H27" s="6"/>
      <c r="I27" s="54">
        <v>6</v>
      </c>
      <c r="J27" s="55" t="s">
        <v>51</v>
      </c>
      <c r="K27" s="10"/>
      <c r="L27" s="56">
        <v>62.5</v>
      </c>
      <c r="M27" s="78"/>
      <c r="N27" s="56"/>
      <c r="O27" s="78">
        <f t="shared" si="0"/>
        <v>375</v>
      </c>
      <c r="R27" s="79">
        <v>13.5</v>
      </c>
      <c r="T27" s="79">
        <v>14</v>
      </c>
      <c r="V27" s="79"/>
      <c r="X27" s="79"/>
      <c r="Y27" s="79">
        <v>13</v>
      </c>
      <c r="AB27" s="79"/>
    </row>
    <row r="28" spans="1:30" ht="14.25" customHeight="1" x14ac:dyDescent="0.35">
      <c r="A28" s="76">
        <v>6</v>
      </c>
      <c r="B28" s="54"/>
      <c r="C28" s="10" t="s">
        <v>52</v>
      </c>
      <c r="D28" s="10"/>
      <c r="E28" s="10"/>
      <c r="F28" s="10"/>
      <c r="G28" s="10"/>
      <c r="H28" s="10"/>
      <c r="I28" s="54">
        <v>1</v>
      </c>
      <c r="J28" s="55" t="s">
        <v>53</v>
      </c>
      <c r="K28" s="10"/>
      <c r="L28" s="56">
        <v>120</v>
      </c>
      <c r="M28" s="78"/>
      <c r="N28" s="56"/>
      <c r="O28" s="78">
        <f t="shared" si="0"/>
        <v>120</v>
      </c>
      <c r="T28" s="79"/>
      <c r="V28">
        <v>32</v>
      </c>
      <c r="AB28" s="79"/>
    </row>
    <row r="29" spans="1:30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T29" s="79"/>
      <c r="V29" s="79"/>
      <c r="AB29" s="79">
        <v>31</v>
      </c>
    </row>
    <row r="30" spans="1:30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Y30" s="79"/>
      <c r="Z30" s="79"/>
    </row>
    <row r="31" spans="1:30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3636.5</v>
      </c>
    </row>
    <row r="55" spans="1:15" ht="14.25" customHeight="1" x14ac:dyDescent="0.35">
      <c r="A55" s="10" t="s">
        <v>439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991B-282B-493D-8E05-8502EFF4E6AE}">
  <sheetPr codeName="Sheet43"/>
  <dimension ref="A1:Z1000"/>
  <sheetViews>
    <sheetView topLeftCell="A13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6640625" customWidth="1"/>
    <col min="18" max="18" width="7" customWidth="1"/>
    <col min="19" max="19" width="7.6640625" customWidth="1"/>
    <col min="20" max="20" width="6.6640625" customWidth="1"/>
    <col min="21" max="21" width="8.5" customWidth="1"/>
    <col min="22" max="22" width="7.75" customWidth="1"/>
    <col min="23" max="23" width="8.4140625" customWidth="1"/>
    <col min="24" max="24" width="8.9140625" bestFit="1" customWidth="1"/>
    <col min="25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230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440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232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435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233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234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235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2" ht="14.25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441</v>
      </c>
      <c r="O17" s="10"/>
      <c r="V17" s="10"/>
    </row>
    <row r="18" spans="1:22" ht="14.25" customHeight="1" x14ac:dyDescent="0.35">
      <c r="A18" s="10" t="s">
        <v>27</v>
      </c>
      <c r="B18" s="10" t="s">
        <v>7</v>
      </c>
      <c r="C18" s="7" t="s">
        <v>237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2" ht="14.25" customHeight="1" x14ac:dyDescent="0.35">
      <c r="A19" s="10" t="s">
        <v>29</v>
      </c>
      <c r="B19" s="10" t="s">
        <v>7</v>
      </c>
      <c r="C19" s="7" t="s">
        <v>238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2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2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2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38</v>
      </c>
      <c r="S22" s="72" t="s">
        <v>101</v>
      </c>
      <c r="T22" s="66">
        <v>1125</v>
      </c>
    </row>
    <row r="23" spans="1:22" ht="14.25" customHeight="1" x14ac:dyDescent="0.35">
      <c r="A23" s="76">
        <v>1</v>
      </c>
      <c r="B23" s="54"/>
      <c r="C23" s="162" t="s">
        <v>442</v>
      </c>
      <c r="D23" s="10"/>
      <c r="E23" s="10"/>
      <c r="F23" s="10"/>
      <c r="G23" s="10"/>
      <c r="H23" s="10"/>
      <c r="I23" s="163">
        <v>1</v>
      </c>
      <c r="J23" s="164" t="s">
        <v>443</v>
      </c>
      <c r="K23" s="10"/>
      <c r="L23" s="56">
        <v>1450</v>
      </c>
      <c r="M23" s="78"/>
      <c r="N23" s="56"/>
      <c r="O23" s="78">
        <f>SUM(I23*L23)</f>
        <v>1450</v>
      </c>
      <c r="Q23" s="79">
        <v>8.1999999999999993</v>
      </c>
      <c r="R23" s="79">
        <v>8.5</v>
      </c>
      <c r="S23" s="79">
        <v>8.1</v>
      </c>
      <c r="T23">
        <v>7.3</v>
      </c>
      <c r="U23" s="79">
        <v>7.5</v>
      </c>
      <c r="V23" s="79">
        <v>7.8</v>
      </c>
    </row>
    <row r="24" spans="1:22" ht="14.25" customHeight="1" x14ac:dyDescent="0.35">
      <c r="A24" s="76"/>
      <c r="B24" s="54"/>
      <c r="C24" s="1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T24">
        <v>7.2</v>
      </c>
      <c r="V24" s="79"/>
    </row>
    <row r="25" spans="1:22" ht="14.25" customHeight="1" x14ac:dyDescent="0.35">
      <c r="A25" s="76"/>
      <c r="B25" s="54"/>
      <c r="C25" s="10"/>
      <c r="D25" s="10"/>
      <c r="E25" s="10"/>
      <c r="F25" s="10"/>
      <c r="G25" s="10"/>
      <c r="H25" s="10"/>
      <c r="I25" s="54"/>
      <c r="J25" s="55"/>
      <c r="K25" s="10"/>
      <c r="L25" s="56"/>
      <c r="M25" s="78"/>
      <c r="N25" s="56"/>
      <c r="O25" s="78"/>
      <c r="V25" s="79">
        <v>2.6</v>
      </c>
    </row>
    <row r="26" spans="1:22" ht="14.25" customHeight="1" x14ac:dyDescent="0.35">
      <c r="A26" s="76"/>
      <c r="B26" s="54"/>
      <c r="C26" s="10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V26" s="79"/>
    </row>
    <row r="27" spans="1:22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54"/>
      <c r="J27" s="55"/>
      <c r="K27" s="10"/>
      <c r="L27" s="165"/>
      <c r="M27" s="78"/>
      <c r="N27" s="56"/>
      <c r="O27" s="78"/>
      <c r="V27" s="79"/>
    </row>
    <row r="28" spans="1:22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166"/>
      <c r="M28" s="78"/>
      <c r="N28" s="56"/>
      <c r="O28" s="167"/>
    </row>
    <row r="29" spans="1:22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2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2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2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26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26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26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26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26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6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6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6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6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6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Y42" s="132"/>
      <c r="Z42" s="132"/>
    </row>
    <row r="43" spans="1:26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Y43" s="132"/>
      <c r="Z43" s="132"/>
    </row>
    <row r="44" spans="1:26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Y44" s="132"/>
      <c r="Z44" s="132"/>
    </row>
    <row r="45" spans="1:26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Y45" s="132"/>
      <c r="Z45" s="132"/>
    </row>
    <row r="46" spans="1:26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Y46" s="132"/>
      <c r="Z46" s="132"/>
    </row>
    <row r="47" spans="1:26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Y47" s="132"/>
      <c r="Z47" s="132"/>
    </row>
    <row r="48" spans="1:26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V48" s="168"/>
    </row>
    <row r="49" spans="1:24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V49" s="168"/>
    </row>
    <row r="50" spans="1:24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V50" s="90"/>
    </row>
    <row r="51" spans="1:24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V51" s="90"/>
    </row>
    <row r="52" spans="1:24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V52" s="90"/>
    </row>
    <row r="53" spans="1:24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V53" s="90"/>
    </row>
    <row r="54" spans="1:24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1450</v>
      </c>
      <c r="V54" s="66"/>
      <c r="W54" s="169"/>
      <c r="X54" s="66"/>
    </row>
    <row r="55" spans="1:24" ht="14.25" customHeight="1" x14ac:dyDescent="0.35">
      <c r="A55" s="10" t="s">
        <v>444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90"/>
      <c r="W55" s="146"/>
      <c r="X55" s="132"/>
    </row>
    <row r="56" spans="1:24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68"/>
      <c r="W56" s="146"/>
      <c r="X56" s="132"/>
    </row>
    <row r="57" spans="1:24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X57" s="132"/>
    </row>
    <row r="58" spans="1:24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24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24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24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24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24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24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42C3-C592-4C89-9870-47BF9FD8F9AE}">
  <sheetPr codeName="Sheet44"/>
  <dimension ref="A1:Z1000"/>
  <sheetViews>
    <sheetView topLeftCell="A7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6640625" customWidth="1"/>
    <col min="18" max="18" width="7" customWidth="1"/>
    <col min="19" max="19" width="7.6640625" customWidth="1"/>
    <col min="20" max="20" width="6.6640625" customWidth="1"/>
    <col min="21" max="21" width="8.5" customWidth="1"/>
    <col min="22" max="22" width="7.75" customWidth="1"/>
    <col min="23" max="23" width="8.4140625" customWidth="1"/>
    <col min="24" max="24" width="8.9140625" bestFit="1" customWidth="1"/>
    <col min="25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445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446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447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2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449</v>
      </c>
      <c r="O17" s="10"/>
      <c r="V17" s="10"/>
    </row>
    <row r="18" spans="1:22" ht="14.25" customHeight="1" x14ac:dyDescent="0.35">
      <c r="A18" s="10" t="s">
        <v>27</v>
      </c>
      <c r="B18" s="10" t="s">
        <v>7</v>
      </c>
      <c r="C18" s="7" t="s">
        <v>450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2" ht="14.25" customHeight="1" x14ac:dyDescent="0.35">
      <c r="A19" s="10" t="s">
        <v>29</v>
      </c>
      <c r="B19" s="10" t="s">
        <v>7</v>
      </c>
      <c r="C19" s="7" t="s">
        <v>451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2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2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22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38</v>
      </c>
      <c r="S22" s="72" t="s">
        <v>101</v>
      </c>
      <c r="T22" s="66">
        <v>1125</v>
      </c>
    </row>
    <row r="23" spans="1:22" ht="14.25" customHeight="1" x14ac:dyDescent="0.35">
      <c r="A23" s="76">
        <v>1</v>
      </c>
      <c r="B23" s="54"/>
      <c r="C23" s="162" t="s">
        <v>452</v>
      </c>
      <c r="D23" s="10"/>
      <c r="E23" s="10"/>
      <c r="F23" s="10"/>
      <c r="G23" s="10"/>
      <c r="H23" s="10"/>
      <c r="I23" s="153">
        <v>1</v>
      </c>
      <c r="J23" s="154" t="s">
        <v>55</v>
      </c>
      <c r="K23" s="10"/>
      <c r="L23" s="56">
        <v>350</v>
      </c>
      <c r="M23" s="78"/>
      <c r="N23" s="56"/>
      <c r="O23" s="78">
        <f>SUM(I23*L23)</f>
        <v>350</v>
      </c>
      <c r="Q23" s="79">
        <v>8.1999999999999993</v>
      </c>
      <c r="R23" s="79">
        <v>8.5</v>
      </c>
      <c r="S23" s="79">
        <v>8.1</v>
      </c>
      <c r="T23">
        <v>7.3</v>
      </c>
      <c r="U23" s="79">
        <v>7.5</v>
      </c>
      <c r="V23" s="79">
        <v>7.8</v>
      </c>
    </row>
    <row r="24" spans="1:22" ht="14.25" customHeight="1" x14ac:dyDescent="0.35">
      <c r="A24" s="76">
        <v>2</v>
      </c>
      <c r="B24" s="54"/>
      <c r="C24" s="10" t="s">
        <v>453</v>
      </c>
      <c r="D24" s="10"/>
      <c r="E24" s="10"/>
      <c r="F24" s="10"/>
      <c r="G24" s="10"/>
      <c r="H24" s="10"/>
      <c r="I24" s="153">
        <v>1</v>
      </c>
      <c r="J24" s="154" t="s">
        <v>49</v>
      </c>
      <c r="K24" s="10"/>
      <c r="L24" s="56">
        <v>225</v>
      </c>
      <c r="M24" s="78"/>
      <c r="N24" s="56"/>
      <c r="O24" s="78">
        <f t="shared" ref="O24:O25" si="0">SUM(I24*L24)</f>
        <v>225</v>
      </c>
      <c r="T24">
        <v>7.2</v>
      </c>
      <c r="V24" s="79"/>
    </row>
    <row r="25" spans="1:22" ht="14.25" customHeight="1" x14ac:dyDescent="0.35">
      <c r="A25" s="76">
        <v>3</v>
      </c>
      <c r="B25" s="54"/>
      <c r="C25" s="10" t="s">
        <v>331</v>
      </c>
      <c r="D25" s="10"/>
      <c r="E25" s="10"/>
      <c r="F25" s="10"/>
      <c r="G25" s="10"/>
      <c r="H25" s="10"/>
      <c r="I25" s="153">
        <v>1</v>
      </c>
      <c r="J25" s="154" t="s">
        <v>53</v>
      </c>
      <c r="K25" s="10"/>
      <c r="L25" s="56">
        <v>120</v>
      </c>
      <c r="M25" s="78"/>
      <c r="N25" s="56"/>
      <c r="O25" s="78">
        <f t="shared" si="0"/>
        <v>120</v>
      </c>
      <c r="V25" s="79">
        <v>2.6</v>
      </c>
    </row>
    <row r="26" spans="1:22" ht="14.25" customHeight="1" x14ac:dyDescent="0.35">
      <c r="A26" s="76"/>
      <c r="B26" s="54"/>
      <c r="C26" s="10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V26" s="79"/>
    </row>
    <row r="27" spans="1:22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54"/>
      <c r="J27" s="55"/>
      <c r="K27" s="10"/>
      <c r="L27" s="165"/>
      <c r="M27" s="78"/>
      <c r="N27" s="56"/>
      <c r="O27" s="78"/>
      <c r="V27" s="79"/>
    </row>
    <row r="28" spans="1:22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166"/>
      <c r="M28" s="78"/>
      <c r="N28" s="56"/>
      <c r="O28" s="167"/>
    </row>
    <row r="29" spans="1:22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2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2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2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26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26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26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26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26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6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6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6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6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6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Y42" s="132"/>
      <c r="Z42" s="132"/>
    </row>
    <row r="43" spans="1:26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Y43" s="132"/>
      <c r="Z43" s="132"/>
    </row>
    <row r="44" spans="1:26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Y44" s="132"/>
      <c r="Z44" s="132"/>
    </row>
    <row r="45" spans="1:26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Y45" s="132"/>
      <c r="Z45" s="132"/>
    </row>
    <row r="46" spans="1:26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Y46" s="132"/>
      <c r="Z46" s="132"/>
    </row>
    <row r="47" spans="1:26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Y47" s="132"/>
      <c r="Z47" s="132"/>
    </row>
    <row r="48" spans="1:26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V48" s="168"/>
    </row>
    <row r="49" spans="1:24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V49" s="168"/>
    </row>
    <row r="50" spans="1:24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V50" s="90"/>
    </row>
    <row r="51" spans="1:24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V51" s="90"/>
    </row>
    <row r="52" spans="1:24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V52" s="90"/>
    </row>
    <row r="53" spans="1:24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V53" s="90"/>
    </row>
    <row r="54" spans="1:24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695</v>
      </c>
      <c r="V54" s="66"/>
      <c r="W54" s="169"/>
      <c r="X54" s="66"/>
    </row>
    <row r="55" spans="1:24" ht="14.25" customHeight="1" x14ac:dyDescent="0.35">
      <c r="A55" s="51" t="s">
        <v>454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90"/>
      <c r="W55" s="146"/>
      <c r="X55" s="132"/>
    </row>
    <row r="56" spans="1:24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68"/>
      <c r="W56" s="146"/>
      <c r="X56" s="132"/>
    </row>
    <row r="57" spans="1:24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X57" s="132"/>
    </row>
    <row r="58" spans="1:24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24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24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24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24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24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24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89B4-C467-440D-AC0A-E7905D7F9932}">
  <sheetPr codeName="Sheet45"/>
  <dimension ref="A1:R1000"/>
  <sheetViews>
    <sheetView topLeftCell="A19" workbookViewId="0">
      <selection activeCell="C26" sqref="C26:L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9.75" bestFit="1" customWidth="1"/>
    <col min="18" max="18" width="7.4140625" bestFit="1" customWidth="1"/>
    <col min="19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405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455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407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409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456</v>
      </c>
      <c r="O17" s="10"/>
      <c r="Q17" s="10"/>
    </row>
    <row r="18" spans="1:18" ht="14.25" customHeight="1" x14ac:dyDescent="0.35">
      <c r="A18" s="10" t="s">
        <v>27</v>
      </c>
      <c r="B18" s="10" t="s">
        <v>7</v>
      </c>
      <c r="C18" s="7" t="s">
        <v>411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10" t="s">
        <v>412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18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02" t="s">
        <v>34</v>
      </c>
      <c r="R22" s="66"/>
    </row>
    <row r="23" spans="1:18" ht="14.25" customHeight="1" x14ac:dyDescent="0.35">
      <c r="A23" s="76">
        <v>1</v>
      </c>
      <c r="B23" s="54"/>
      <c r="C23" s="48" t="s">
        <v>79</v>
      </c>
      <c r="D23" s="6"/>
      <c r="E23" s="6"/>
      <c r="F23" s="6"/>
      <c r="G23" s="6"/>
      <c r="H23" s="6"/>
      <c r="I23" s="20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174">
        <v>8.1</v>
      </c>
      <c r="R23" s="79"/>
    </row>
    <row r="24" spans="1:18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3</v>
      </c>
      <c r="J24" s="55" t="s">
        <v>49</v>
      </c>
      <c r="K24" s="10"/>
      <c r="L24" s="56">
        <v>219</v>
      </c>
      <c r="M24" s="78"/>
      <c r="N24" s="56"/>
      <c r="O24" s="78">
        <f t="shared" ref="O24:O26" si="0">SUM(I24*L24)</f>
        <v>657</v>
      </c>
      <c r="Q24" s="174">
        <v>7.3</v>
      </c>
      <c r="R24" s="79"/>
    </row>
    <row r="25" spans="1:18" ht="14.25" customHeight="1" x14ac:dyDescent="0.35">
      <c r="A25" s="76">
        <v>3</v>
      </c>
      <c r="B25" s="54"/>
      <c r="C25" s="10" t="s">
        <v>129</v>
      </c>
      <c r="D25" s="6"/>
      <c r="E25" s="6"/>
      <c r="F25" s="6"/>
      <c r="G25" s="6"/>
      <c r="H25" s="6"/>
      <c r="I25" s="20">
        <v>1</v>
      </c>
      <c r="J25" s="55" t="s">
        <v>49</v>
      </c>
      <c r="K25" s="10"/>
      <c r="L25" s="56">
        <v>337.5</v>
      </c>
      <c r="M25" s="78"/>
      <c r="N25" s="56"/>
      <c r="O25" s="78">
        <f t="shared" si="0"/>
        <v>337.5</v>
      </c>
      <c r="Q25" s="188">
        <v>7.5</v>
      </c>
      <c r="R25" s="79"/>
    </row>
    <row r="26" spans="1:18" ht="14.25" customHeight="1" x14ac:dyDescent="0.35">
      <c r="A26" s="76">
        <v>4</v>
      </c>
      <c r="B26" s="54"/>
      <c r="C26" s="10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275</v>
      </c>
      <c r="M26" s="78"/>
      <c r="N26" s="56"/>
      <c r="O26" s="78">
        <f t="shared" si="0"/>
        <v>275</v>
      </c>
      <c r="Q26" s="175">
        <v>120</v>
      </c>
      <c r="R26" s="79"/>
    </row>
    <row r="27" spans="1:18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175">
        <v>12.5</v>
      </c>
      <c r="R27" s="79"/>
    </row>
    <row r="28" spans="1:18" ht="14.25" customHeight="1" x14ac:dyDescent="0.35">
      <c r="A28" s="76"/>
      <c r="B28" s="54"/>
      <c r="C28" s="6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Q28" s="174">
        <v>60</v>
      </c>
      <c r="R28" s="79"/>
    </row>
    <row r="29" spans="1:18" ht="14.25" customHeight="1" x14ac:dyDescent="0.35">
      <c r="A29" s="76"/>
      <c r="B29" s="54"/>
      <c r="C29" s="33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Q29" s="174">
        <v>2.5</v>
      </c>
      <c r="R29" s="79"/>
    </row>
    <row r="30" spans="1:18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Q30" s="174"/>
      <c r="R30" s="79"/>
    </row>
    <row r="31" spans="1:18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Q31" s="174"/>
      <c r="R31" s="79"/>
    </row>
    <row r="32" spans="1:18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Q32" s="174"/>
      <c r="R32" s="79"/>
    </row>
    <row r="33" spans="1:18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Q33" s="174"/>
      <c r="R33" s="79"/>
    </row>
    <row r="34" spans="1:18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Q34" s="79"/>
    </row>
    <row r="35" spans="1:18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Q35" s="79"/>
    </row>
    <row r="36" spans="1:18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8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8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8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8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8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8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8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8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8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8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8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8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3092</v>
      </c>
    </row>
    <row r="55" spans="1:15" ht="14.25" customHeight="1" x14ac:dyDescent="0.35">
      <c r="A55" s="10" t="s">
        <v>457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5280-DAF9-4AFA-AC3C-B4B376DBA07E}">
  <sheetPr codeName="Sheet46"/>
  <dimension ref="A1:AI1003"/>
  <sheetViews>
    <sheetView topLeftCell="A16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458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459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2610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13276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460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E2FF-0F5A-4302-A25A-7F1E9D469391}">
  <sheetPr codeName="Sheet47"/>
  <dimension ref="A1:AE1000"/>
  <sheetViews>
    <sheetView topLeftCell="A7" workbookViewId="0">
      <selection activeCell="I23" sqref="I23:L23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33203125" style="1" customWidth="1"/>
    <col min="18" max="18" width="7.1640625" style="1" customWidth="1"/>
    <col min="19" max="19" width="7.33203125" style="1" customWidth="1"/>
    <col min="20" max="20" width="5.5" style="1" customWidth="1"/>
    <col min="21" max="22" width="5.1640625" style="1" bestFit="1" customWidth="1"/>
    <col min="23" max="23" width="5.1640625" style="12" bestFit="1" customWidth="1"/>
    <col min="24" max="25" width="5.1640625" style="1" bestFit="1" customWidth="1"/>
    <col min="26" max="26" width="4.4140625" style="1" bestFit="1" customWidth="1"/>
    <col min="27" max="27" width="5.1640625" style="1" bestFit="1" customWidth="1"/>
    <col min="28" max="28" width="6.08203125" style="1" bestFit="1" customWidth="1"/>
    <col min="29" max="30" width="5.1640625" style="1" bestFit="1" customWidth="1"/>
    <col min="31" max="31" width="7.75" style="1" customWidth="1"/>
    <col min="32" max="1038" width="12.83203125" style="1" customWidth="1"/>
    <col min="1039" max="1039" width="8.6640625" style="1" customWidth="1"/>
    <col min="1040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15" t="s">
        <v>5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7" t="s">
        <v>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465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12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469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22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31" ht="14.25" customHeight="1" x14ac:dyDescent="0.35">
      <c r="A17" s="6"/>
      <c r="B17" s="6"/>
      <c r="C17" s="7" t="s">
        <v>24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466</v>
      </c>
      <c r="O17" s="6"/>
      <c r="AE17" s="6"/>
    </row>
    <row r="18" spans="1:31" ht="14.25" customHeight="1" x14ac:dyDescent="0.35">
      <c r="A18" s="6" t="s">
        <v>27</v>
      </c>
      <c r="B18" s="6" t="s">
        <v>7</v>
      </c>
      <c r="C18" s="7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1" ht="14.25" customHeight="1" x14ac:dyDescent="0.35">
      <c r="A19" s="6" t="s">
        <v>29</v>
      </c>
      <c r="B19" s="6" t="s">
        <v>7</v>
      </c>
      <c r="C19" s="7" t="s">
        <v>30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1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1" ht="14.25" customHeight="1" x14ac:dyDescent="0.35">
      <c r="A21" s="13" t="s">
        <v>31</v>
      </c>
      <c r="B21" s="216" t="s">
        <v>32</v>
      </c>
      <c r="C21" s="216"/>
      <c r="D21" s="216"/>
      <c r="E21" s="216"/>
      <c r="F21" s="216"/>
      <c r="G21" s="216"/>
      <c r="H21" s="216"/>
      <c r="I21" s="217" t="s">
        <v>33</v>
      </c>
      <c r="J21" s="217"/>
      <c r="K21" s="14"/>
      <c r="L21" s="15" t="s">
        <v>34</v>
      </c>
      <c r="M21" s="16"/>
      <c r="N21" s="217" t="s">
        <v>35</v>
      </c>
      <c r="O21" s="217"/>
      <c r="Q21" s="17" t="s">
        <v>36</v>
      </c>
      <c r="R21" s="17" t="s">
        <v>37</v>
      </c>
      <c r="S21" s="17" t="s">
        <v>38</v>
      </c>
      <c r="T21" s="17" t="s">
        <v>39</v>
      </c>
      <c r="U21" s="1">
        <v>1125</v>
      </c>
      <c r="V21" s="1">
        <v>1025</v>
      </c>
      <c r="W21" s="17" t="s">
        <v>40</v>
      </c>
      <c r="Y21" s="17" t="s">
        <v>41</v>
      </c>
      <c r="Z21" s="17" t="s">
        <v>42</v>
      </c>
      <c r="AA21" s="17" t="s">
        <v>43</v>
      </c>
      <c r="AB21" s="17"/>
      <c r="AC21" s="18" t="s">
        <v>44</v>
      </c>
      <c r="AD21" s="18" t="s">
        <v>45</v>
      </c>
    </row>
    <row r="22" spans="1:31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31" ht="14.25" customHeight="1" x14ac:dyDescent="0.35">
      <c r="A23" s="22">
        <v>1</v>
      </c>
      <c r="B23" s="20"/>
      <c r="C23" s="23" t="s">
        <v>467</v>
      </c>
      <c r="D23" s="6"/>
      <c r="E23" s="6"/>
      <c r="F23" s="6"/>
      <c r="G23" s="6"/>
      <c r="H23" s="6"/>
      <c r="I23" s="24">
        <v>8</v>
      </c>
      <c r="J23" s="25" t="s">
        <v>57</v>
      </c>
      <c r="K23" s="6"/>
      <c r="L23" s="26">
        <v>57.6</v>
      </c>
      <c r="M23" s="27"/>
      <c r="N23" s="26"/>
      <c r="O23" s="27">
        <f>SUM(I23*L23)</f>
        <v>460.8</v>
      </c>
      <c r="Q23" s="28">
        <v>7.6</v>
      </c>
      <c r="R23" s="29">
        <v>8.1</v>
      </c>
      <c r="S23" s="29">
        <v>7.6</v>
      </c>
      <c r="T23" s="29">
        <v>6.6</v>
      </c>
      <c r="U23" s="29">
        <v>6.8</v>
      </c>
      <c r="V23" s="29">
        <v>6.9</v>
      </c>
      <c r="W23" s="28">
        <v>7</v>
      </c>
      <c r="X23" s="29">
        <v>6.9</v>
      </c>
      <c r="Y23" s="29">
        <v>7.2</v>
      </c>
      <c r="AA23" s="29">
        <v>7.3</v>
      </c>
      <c r="AB23" s="29"/>
      <c r="AD23" s="29">
        <v>7.4</v>
      </c>
      <c r="AE23" s="29">
        <v>7.3</v>
      </c>
    </row>
    <row r="24" spans="1:31" ht="14.25" customHeight="1" x14ac:dyDescent="0.35">
      <c r="A24" s="22"/>
      <c r="B24" s="20"/>
      <c r="C24" s="6"/>
      <c r="D24" s="6"/>
      <c r="E24" s="6"/>
      <c r="F24" s="6"/>
      <c r="G24" s="6"/>
      <c r="H24" s="6"/>
      <c r="I24" s="20"/>
      <c r="J24" s="21"/>
      <c r="K24" s="6"/>
      <c r="L24" s="26"/>
      <c r="M24" s="27"/>
      <c r="N24" s="26"/>
      <c r="O24" s="27"/>
      <c r="AA24" s="29">
        <v>5.8</v>
      </c>
      <c r="AB24" s="29"/>
      <c r="AC24" s="29">
        <v>6</v>
      </c>
      <c r="AD24" s="29"/>
      <c r="AE24" s="29">
        <v>5.8</v>
      </c>
    </row>
    <row r="25" spans="1:31" ht="14.25" customHeight="1" x14ac:dyDescent="0.35">
      <c r="A25" s="22"/>
      <c r="B25" s="20"/>
      <c r="C25" s="6"/>
      <c r="D25" s="6"/>
      <c r="E25" s="6"/>
      <c r="F25" s="6"/>
      <c r="G25" s="6"/>
      <c r="H25" s="6"/>
      <c r="I25" s="20"/>
      <c r="J25" s="21"/>
      <c r="K25" s="6"/>
      <c r="L25" s="26"/>
      <c r="M25" s="27"/>
      <c r="N25" s="26"/>
      <c r="O25" s="27"/>
      <c r="AD25" s="29"/>
      <c r="AE25" s="29">
        <v>2.2999999999999998</v>
      </c>
    </row>
    <row r="26" spans="1:31" ht="14.25" customHeight="1" x14ac:dyDescent="0.35">
      <c r="A26" s="22"/>
      <c r="B26" s="20"/>
      <c r="C26" s="30"/>
      <c r="D26" s="6"/>
      <c r="E26" s="6"/>
      <c r="F26" s="6"/>
      <c r="G26" s="6"/>
      <c r="H26" s="6"/>
      <c r="I26" s="20"/>
      <c r="J26" s="21"/>
      <c r="K26" s="6"/>
      <c r="L26" s="26"/>
      <c r="M26" s="27"/>
      <c r="N26" s="26"/>
      <c r="O26" s="27"/>
      <c r="AD26" s="29"/>
    </row>
    <row r="27" spans="1:31" ht="14.25" customHeight="1" x14ac:dyDescent="0.35">
      <c r="A27" s="22"/>
      <c r="B27" s="20"/>
      <c r="C27" s="10"/>
      <c r="D27" s="6"/>
      <c r="E27" s="6"/>
      <c r="F27" s="6"/>
      <c r="G27" s="6"/>
      <c r="H27" s="6"/>
      <c r="I27" s="20"/>
      <c r="J27" s="21"/>
      <c r="K27" s="6"/>
      <c r="L27" s="31"/>
      <c r="M27" s="27"/>
      <c r="N27" s="26"/>
      <c r="O27" s="27"/>
      <c r="AB27" s="29">
        <v>11.9</v>
      </c>
      <c r="AD27" s="29"/>
    </row>
    <row r="28" spans="1:31" ht="14.25" customHeight="1" x14ac:dyDescent="0.35">
      <c r="A28" s="22"/>
      <c r="B28" s="20"/>
      <c r="C28" s="30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</row>
    <row r="29" spans="1:31" ht="14.25" customHeight="1" x14ac:dyDescent="0.35">
      <c r="A29" s="32"/>
      <c r="B29" s="20"/>
      <c r="C29" s="33"/>
      <c r="D29" s="6"/>
      <c r="E29" s="6"/>
      <c r="F29" s="6"/>
      <c r="G29" s="6"/>
      <c r="H29" s="6"/>
      <c r="I29" s="20"/>
      <c r="J29" s="21"/>
      <c r="K29" s="6"/>
      <c r="L29" s="34"/>
      <c r="M29" s="27"/>
      <c r="N29" s="26"/>
      <c r="O29" s="27"/>
    </row>
    <row r="30" spans="1:31" ht="14.25" customHeight="1" x14ac:dyDescent="0.35">
      <c r="A30" s="22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31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31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460.8</v>
      </c>
    </row>
    <row r="55" spans="1:15" ht="14.25" customHeight="1" x14ac:dyDescent="0.35">
      <c r="A55" s="6" t="s">
        <v>468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8509-A88A-44C6-B741-20A561149B1E}">
  <sheetPr codeName="Sheet48"/>
  <dimension ref="A1:AI1003"/>
  <sheetViews>
    <sheetView topLeftCell="A19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470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469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471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20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3480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7</v>
      </c>
      <c r="J25" s="55" t="s">
        <v>49</v>
      </c>
      <c r="K25" s="10"/>
      <c r="L25" s="77">
        <v>207</v>
      </c>
      <c r="M25" s="78"/>
      <c r="N25" s="56"/>
      <c r="O25" s="78">
        <f t="shared" si="0"/>
        <v>1449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130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950</v>
      </c>
      <c r="M27" s="78"/>
      <c r="N27" s="56"/>
      <c r="O27" s="78">
        <f t="shared" si="0"/>
        <v>950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14889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472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4488-47BC-413F-A882-F3DE1E27350A}">
  <sheetPr codeName="Sheet49"/>
  <dimension ref="A1:AI1003"/>
  <sheetViews>
    <sheetView topLeftCell="A16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473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474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475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2610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130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950</v>
      </c>
      <c r="M27" s="78"/>
      <c r="N27" s="56"/>
      <c r="O27" s="78">
        <f t="shared" si="0"/>
        <v>950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14226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476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3F06-E51A-4621-901F-88D46AA69A29}">
  <sheetPr codeName="Sheet50"/>
  <dimension ref="A1:AD1000"/>
  <sheetViews>
    <sheetView showWhiteSpace="0" topLeftCell="A38" zoomScaleNormal="100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10.1640625" customWidth="1"/>
    <col min="19" max="19" width="9.58203125" customWidth="1"/>
    <col min="20" max="20" width="10.5" bestFit="1" customWidth="1"/>
    <col min="21" max="22" width="7.1640625" customWidth="1"/>
    <col min="23" max="23" width="7.5" customWidth="1"/>
    <col min="24" max="24" width="7.58203125" customWidth="1"/>
    <col min="25" max="28" width="7.1640625" bestFit="1" customWidth="1"/>
    <col min="29" max="30" width="6.08203125" bestFit="1" customWidth="1"/>
    <col min="31" max="31" width="5.75" customWidth="1"/>
    <col min="32" max="32" width="7.25" customWidth="1"/>
    <col min="33" max="33" width="6.33203125" customWidth="1"/>
    <col min="34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175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477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177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478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179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180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181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479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183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184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0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36</v>
      </c>
      <c r="R22" s="151" t="s">
        <v>37</v>
      </c>
      <c r="S22" s="151" t="s">
        <v>38</v>
      </c>
      <c r="T22" s="151" t="s">
        <v>101</v>
      </c>
      <c r="U22" s="151" t="s">
        <v>185</v>
      </c>
      <c r="V22" s="151" t="s">
        <v>115</v>
      </c>
      <c r="W22" s="148" t="s">
        <v>122</v>
      </c>
      <c r="X22" s="148" t="s">
        <v>186</v>
      </c>
      <c r="Y22" s="148" t="s">
        <v>187</v>
      </c>
      <c r="Z22" s="148" t="s">
        <v>188</v>
      </c>
      <c r="AA22" s="148" t="s">
        <v>189</v>
      </c>
      <c r="AD22" s="152"/>
    </row>
    <row r="23" spans="1:30" s="148" customFormat="1" ht="14.25" customHeight="1" x14ac:dyDescent="0.35">
      <c r="A23" s="76">
        <v>1</v>
      </c>
      <c r="B23" s="54"/>
      <c r="C23" s="51" t="s">
        <v>79</v>
      </c>
      <c r="D23" s="6"/>
      <c r="E23" s="6"/>
      <c r="F23" s="6"/>
      <c r="G23" s="6"/>
      <c r="H23" s="6"/>
      <c r="I23" s="153">
        <v>1</v>
      </c>
      <c r="J23" s="154" t="s">
        <v>47</v>
      </c>
      <c r="K23" s="10"/>
      <c r="L23" s="56">
        <v>1845</v>
      </c>
      <c r="M23" s="78"/>
      <c r="N23" s="56"/>
      <c r="O23" s="78">
        <f>SUM(I23*L23)</f>
        <v>1845</v>
      </c>
      <c r="Q23" s="155">
        <v>8.1999999999999993</v>
      </c>
      <c r="R23" s="155"/>
      <c r="S23" s="155">
        <v>8.5</v>
      </c>
      <c r="T23" s="155" t="s">
        <v>191</v>
      </c>
      <c r="U23" s="155">
        <v>7.5</v>
      </c>
      <c r="V23" s="155"/>
      <c r="X23" s="152">
        <v>7.7</v>
      </c>
      <c r="Y23" s="155">
        <v>7.6</v>
      </c>
      <c r="Z23" s="155">
        <v>7.5</v>
      </c>
      <c r="AA23" s="155">
        <v>7.4</v>
      </c>
      <c r="AB23" s="155"/>
      <c r="AC23" s="155"/>
      <c r="AD23" s="152"/>
    </row>
    <row r="24" spans="1:30" s="148" customFormat="1" ht="14.25" customHeight="1" x14ac:dyDescent="0.35">
      <c r="A24" s="76">
        <v>2</v>
      </c>
      <c r="B24" s="54"/>
      <c r="C24" s="10" t="s">
        <v>192</v>
      </c>
      <c r="D24" s="6"/>
      <c r="E24" s="6"/>
      <c r="F24" s="6"/>
      <c r="G24" s="6"/>
      <c r="H24" s="6"/>
      <c r="I24" s="153">
        <v>2</v>
      </c>
      <c r="J24" s="154" t="s">
        <v>49</v>
      </c>
      <c r="K24" s="10"/>
      <c r="L24" s="56">
        <v>225</v>
      </c>
      <c r="M24" s="78"/>
      <c r="N24" s="56"/>
      <c r="O24" s="78">
        <f t="shared" ref="O24:O26" si="0">SUM(I24*L24)</f>
        <v>450</v>
      </c>
      <c r="R24" s="155">
        <v>7.5</v>
      </c>
      <c r="W24" s="155">
        <v>7.2</v>
      </c>
      <c r="X24" s="152">
        <v>7</v>
      </c>
      <c r="Y24" s="155"/>
      <c r="Z24" s="155">
        <v>7</v>
      </c>
      <c r="AA24" s="155">
        <v>7</v>
      </c>
      <c r="AB24" s="155"/>
      <c r="AC24" s="155"/>
    </row>
    <row r="25" spans="1:30" s="148" customFormat="1" ht="14.25" customHeight="1" x14ac:dyDescent="0.35">
      <c r="A25" s="76">
        <v>3</v>
      </c>
      <c r="B25" s="54"/>
      <c r="C25" s="156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115</v>
      </c>
      <c r="M25" s="78"/>
      <c r="N25" s="56"/>
      <c r="O25" s="78">
        <f t="shared" si="0"/>
        <v>115</v>
      </c>
      <c r="V25" s="155">
        <v>6.8</v>
      </c>
      <c r="X25" s="155">
        <v>7</v>
      </c>
      <c r="Y25" s="155"/>
      <c r="Z25" s="155"/>
      <c r="AA25" s="155"/>
      <c r="AB25" s="155"/>
      <c r="AC25" s="155"/>
    </row>
    <row r="26" spans="1:30" s="148" customFormat="1" ht="14.25" customHeight="1" x14ac:dyDescent="0.35">
      <c r="A26" s="76">
        <v>4</v>
      </c>
      <c r="B26" s="54"/>
      <c r="C26" s="10" t="s">
        <v>351</v>
      </c>
      <c r="D26" s="6"/>
      <c r="E26" s="6"/>
      <c r="F26" s="6"/>
      <c r="G26" s="6"/>
      <c r="H26" s="6"/>
      <c r="I26" s="153">
        <v>1</v>
      </c>
      <c r="J26" s="55" t="s">
        <v>84</v>
      </c>
      <c r="K26" s="10"/>
      <c r="L26" s="56">
        <v>165</v>
      </c>
      <c r="M26" s="78"/>
      <c r="N26" s="56"/>
      <c r="O26" s="78">
        <f t="shared" si="0"/>
        <v>165</v>
      </c>
      <c r="AA26" s="155"/>
      <c r="AB26" s="155"/>
      <c r="AC26" s="155"/>
    </row>
    <row r="27" spans="1:30" s="148" customFormat="1" ht="14.25" customHeight="1" x14ac:dyDescent="0.35">
      <c r="A27" s="76"/>
      <c r="B27" s="54"/>
      <c r="C27" s="157"/>
      <c r="D27" s="6"/>
      <c r="E27" s="6"/>
      <c r="F27" s="6"/>
      <c r="G27" s="6"/>
      <c r="H27" s="6"/>
      <c r="I27" s="153"/>
      <c r="J27" s="154"/>
      <c r="K27" s="10"/>
      <c r="L27" s="56"/>
      <c r="M27" s="78"/>
      <c r="N27" s="56"/>
      <c r="O27" s="78"/>
      <c r="X27" s="155"/>
      <c r="Z27" s="155"/>
      <c r="AA27" s="155"/>
      <c r="AB27" s="155"/>
      <c r="AC27" s="155"/>
    </row>
    <row r="28" spans="1:30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Z28" s="155"/>
      <c r="AA28" s="155"/>
      <c r="AB28" s="155"/>
    </row>
    <row r="29" spans="1:30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Z29" s="155"/>
      <c r="AA29" s="155"/>
    </row>
    <row r="30" spans="1:30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B30" s="155"/>
    </row>
    <row r="31" spans="1:30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0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2575</v>
      </c>
    </row>
    <row r="55" spans="1:15" s="148" customFormat="1" ht="14.25" customHeight="1" x14ac:dyDescent="0.35">
      <c r="A55" s="10" t="s">
        <v>480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3FD4-4C6F-4EE5-9E47-E1BAA07F0B8D}">
  <sheetPr codeName="Sheet51"/>
  <dimension ref="A1:AJ1003"/>
  <sheetViews>
    <sheetView topLeftCell="B38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2" style="66" customWidth="1"/>
    <col min="24" max="24" width="1.75" style="66" customWidth="1"/>
    <col min="25" max="25" width="10.9140625" style="66" customWidth="1"/>
    <col min="26" max="26" width="11" customWidth="1"/>
    <col min="27" max="27" width="9.75" bestFit="1" customWidth="1"/>
    <col min="28" max="28" width="10.08203125" customWidth="1"/>
    <col min="29" max="29" width="11.33203125" customWidth="1"/>
    <col min="30" max="30" width="6.58203125" customWidth="1"/>
    <col min="31" max="1030" width="12.83203125" customWidth="1"/>
    <col min="1031" max="1031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481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483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6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482</v>
      </c>
      <c r="O17" s="10"/>
    </row>
    <row r="18" spans="1:36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6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6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6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6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72"/>
      <c r="Y22" s="66">
        <v>1225</v>
      </c>
      <c r="Z22" s="72" t="s">
        <v>116</v>
      </c>
      <c r="AA22" s="72" t="s">
        <v>117</v>
      </c>
      <c r="AB22" s="72" t="s">
        <v>118</v>
      </c>
      <c r="AC22" s="73" t="s">
        <v>119</v>
      </c>
      <c r="AD22" s="74" t="s">
        <v>120</v>
      </c>
      <c r="AE22" s="74" t="s">
        <v>121</v>
      </c>
      <c r="AF22" s="75" t="s">
        <v>122</v>
      </c>
      <c r="AG22" s="74" t="s">
        <v>123</v>
      </c>
      <c r="AH22" s="74" t="s">
        <v>124</v>
      </c>
      <c r="AI22" s="74" t="s">
        <v>125</v>
      </c>
      <c r="AJ22" s="74" t="s">
        <v>125</v>
      </c>
    </row>
    <row r="23" spans="1:36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/>
      <c r="Y23" s="79">
        <v>6.8</v>
      </c>
      <c r="Z23" s="79">
        <v>6.9</v>
      </c>
      <c r="AA23" s="79">
        <v>7</v>
      </c>
      <c r="AC23" s="79"/>
      <c r="AD23" s="66"/>
      <c r="AE23" s="80">
        <v>7.2</v>
      </c>
      <c r="AG23" s="79">
        <v>7.3</v>
      </c>
      <c r="AH23" s="79">
        <v>7.4</v>
      </c>
      <c r="AI23" s="79">
        <v>7.4</v>
      </c>
      <c r="AJ23" s="79">
        <v>7.4</v>
      </c>
    </row>
    <row r="24" spans="1:36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7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/>
      <c r="Z24" s="79"/>
      <c r="AA24" s="79">
        <v>5.9</v>
      </c>
      <c r="AB24" s="79">
        <v>5.9</v>
      </c>
      <c r="AC24" s="79"/>
      <c r="AD24" s="66"/>
      <c r="AE24" s="80"/>
      <c r="AF24" s="79">
        <v>5.8</v>
      </c>
      <c r="AH24" s="79">
        <v>5.9</v>
      </c>
      <c r="AI24" s="79">
        <v>6.1</v>
      </c>
    </row>
    <row r="25" spans="1:36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Y25"/>
      <c r="AA25" s="79">
        <v>5.0999999999999996</v>
      </c>
      <c r="AB25" s="79"/>
      <c r="AC25" s="79">
        <v>5.5</v>
      </c>
      <c r="AD25" s="66"/>
      <c r="AE25" s="66"/>
      <c r="AF25" s="79">
        <v>5.3</v>
      </c>
      <c r="AH25" s="79">
        <v>5.3</v>
      </c>
      <c r="AI25" s="81">
        <v>6</v>
      </c>
      <c r="AJ25" s="79">
        <v>6.1</v>
      </c>
    </row>
    <row r="26" spans="1:36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Y26"/>
      <c r="AA26" s="79"/>
      <c r="AC26" s="79"/>
      <c r="AD26" s="66"/>
      <c r="AE26" s="66"/>
      <c r="AJ26" s="81">
        <v>5.5</v>
      </c>
    </row>
    <row r="27" spans="1:36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6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B28" s="79"/>
      <c r="AC28" s="79"/>
      <c r="AD28" s="79"/>
    </row>
    <row r="29" spans="1:36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6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Z30" s="84"/>
      <c r="AA30" s="84"/>
      <c r="AB30" s="84"/>
    </row>
    <row r="31" spans="1:36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Z31" s="87"/>
      <c r="AA31" s="84"/>
      <c r="AB31" s="88"/>
    </row>
    <row r="32" spans="1:36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Z32" s="91"/>
      <c r="AA32" s="84"/>
      <c r="AB32" s="92"/>
    </row>
    <row r="33" spans="1:3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Z33" s="91"/>
      <c r="AA33" s="96"/>
      <c r="AB33" s="97"/>
    </row>
    <row r="34" spans="1:3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Z34" s="91"/>
      <c r="AA34" s="96"/>
      <c r="AB34" s="88"/>
      <c r="AE34" s="66"/>
    </row>
    <row r="35" spans="1:3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Z35" s="91"/>
      <c r="AA35" s="96"/>
      <c r="AB35" s="97"/>
    </row>
    <row r="36" spans="1:3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Z36" s="91"/>
      <c r="AA36" s="96"/>
      <c r="AB36" s="99"/>
    </row>
    <row r="37" spans="1:3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Z37" s="91"/>
      <c r="AA37" s="96"/>
      <c r="AB37" s="100"/>
    </row>
    <row r="38" spans="1:3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101"/>
      <c r="Y38" s="95"/>
      <c r="Z38" s="91"/>
      <c r="AA38" s="96"/>
      <c r="AB38" s="102"/>
    </row>
    <row r="39" spans="1:3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3"/>
      <c r="Y39" s="104"/>
      <c r="Z39" s="91"/>
      <c r="AA39" s="96"/>
      <c r="AB39" s="100"/>
    </row>
    <row r="40" spans="1:3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3"/>
      <c r="Y40" s="104"/>
      <c r="Z40" s="91"/>
      <c r="AA40" s="96"/>
      <c r="AB40" s="105"/>
    </row>
    <row r="41" spans="1:3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101"/>
      <c r="Y41" s="95"/>
      <c r="Z41" s="91"/>
      <c r="AA41" s="96"/>
      <c r="AB41" s="105"/>
    </row>
    <row r="42" spans="1:3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3"/>
      <c r="Y42" s="106"/>
      <c r="Z42" s="91"/>
      <c r="AA42" s="96"/>
      <c r="AB42" s="105"/>
    </row>
    <row r="43" spans="1:3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3"/>
      <c r="Y43" s="104"/>
      <c r="Z43" s="91"/>
      <c r="AA43" s="96"/>
      <c r="AB43" s="105"/>
    </row>
    <row r="44" spans="1:3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101"/>
      <c r="Y44" s="95"/>
      <c r="Z44" s="91"/>
      <c r="AA44" s="96"/>
      <c r="AB44" s="97"/>
    </row>
    <row r="45" spans="1:3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7"/>
      <c r="Y45" s="108"/>
      <c r="Z45" s="91"/>
      <c r="AA45" s="96"/>
      <c r="AB45" s="102"/>
    </row>
    <row r="46" spans="1:3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7"/>
      <c r="Y46" s="109"/>
      <c r="Z46" s="91"/>
      <c r="AA46" s="96"/>
      <c r="AB46" s="105"/>
    </row>
    <row r="47" spans="1:3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7"/>
      <c r="Y47" s="108"/>
      <c r="Z47" s="91"/>
      <c r="AA47" s="96"/>
      <c r="AB47" s="105"/>
    </row>
    <row r="48" spans="1:3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7"/>
      <c r="Y48" s="108"/>
      <c r="Z48" s="91"/>
      <c r="AA48" s="96"/>
      <c r="AB48" s="105"/>
    </row>
    <row r="49" spans="1:30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10"/>
      <c r="Y49" s="109"/>
      <c r="Z49" s="91"/>
      <c r="AA49" s="96"/>
      <c r="AB49" s="105"/>
    </row>
    <row r="50" spans="1:30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7"/>
      <c r="Y50" s="108"/>
      <c r="Z50" s="91"/>
      <c r="AA50" s="96"/>
      <c r="AB50" s="102"/>
    </row>
    <row r="51" spans="1:30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7"/>
      <c r="Y51" s="108"/>
      <c r="Z51" s="91"/>
      <c r="AA51" s="96"/>
      <c r="AB51" s="105"/>
    </row>
    <row r="52" spans="1:30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7"/>
      <c r="Y52" s="108"/>
      <c r="Z52" s="91"/>
      <c r="AA52" s="96"/>
      <c r="AB52" s="105"/>
    </row>
    <row r="53" spans="1:30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7"/>
      <c r="Y53" s="108"/>
      <c r="Z53" s="119"/>
      <c r="AA53" s="91"/>
      <c r="AB53" s="105"/>
    </row>
    <row r="54" spans="1:30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14885</v>
      </c>
      <c r="T54" s="98">
        <v>46213</v>
      </c>
      <c r="U54" s="90" t="s">
        <v>148</v>
      </c>
      <c r="V54" s="132">
        <v>16715</v>
      </c>
      <c r="W54" s="110"/>
      <c r="X54" s="110"/>
      <c r="Y54" s="109"/>
      <c r="Z54" s="119"/>
      <c r="AA54" s="91"/>
      <c r="AB54" s="126"/>
    </row>
    <row r="55" spans="1:30" ht="14.25" customHeight="1" x14ac:dyDescent="0.35">
      <c r="A55" s="10" t="s">
        <v>494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10"/>
      <c r="Y55" s="109"/>
      <c r="Z55" s="119"/>
      <c r="AA55" s="91"/>
      <c r="AB55" s="84"/>
    </row>
    <row r="56" spans="1:30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27"/>
      <c r="Y56" s="108"/>
      <c r="Z56" s="128"/>
    </row>
    <row r="57" spans="1:30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27"/>
      <c r="Y57" s="108"/>
      <c r="Z57" s="129"/>
    </row>
    <row r="58" spans="1:30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10"/>
      <c r="Y58" s="109"/>
      <c r="Z58" s="130"/>
    </row>
    <row r="59" spans="1:30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31"/>
      <c r="Y59" s="109"/>
      <c r="Z59" s="99"/>
    </row>
    <row r="60" spans="1:30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27"/>
      <c r="Y60" s="108"/>
      <c r="Z60" s="132"/>
      <c r="AD60" t="s">
        <v>151</v>
      </c>
    </row>
    <row r="61" spans="1:30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27"/>
      <c r="Y61" s="108"/>
      <c r="Z61" s="129"/>
    </row>
    <row r="62" spans="1:30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31"/>
      <c r="Y62" s="109"/>
      <c r="Z62" s="133"/>
    </row>
    <row r="63" spans="1:30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27"/>
      <c r="Y63" s="108"/>
      <c r="Z63" s="100"/>
    </row>
    <row r="64" spans="1:30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96">
        <v>14935</v>
      </c>
      <c r="W64" s="198"/>
      <c r="X64" s="198"/>
      <c r="Y64" s="189"/>
      <c r="Z64" s="129"/>
    </row>
    <row r="65" spans="1:29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29" ht="14.25" customHeight="1" x14ac:dyDescent="0.3">
      <c r="L66" s="136"/>
      <c r="M66" s="136"/>
      <c r="N66" s="136"/>
      <c r="O66" s="136"/>
      <c r="T66" s="85" t="s">
        <v>484</v>
      </c>
      <c r="V66" s="199">
        <f>SUM(V51:V64)</f>
        <v>218387.69999999998</v>
      </c>
      <c r="W66" s="86"/>
      <c r="X66" s="86"/>
      <c r="Y66" s="200">
        <v>218387.69999999998</v>
      </c>
      <c r="Z66" s="201">
        <v>619828.4</v>
      </c>
    </row>
    <row r="67" spans="1:29" ht="13" customHeight="1" x14ac:dyDescent="0.3">
      <c r="L67" s="136"/>
      <c r="M67" s="136"/>
      <c r="N67" s="136"/>
      <c r="O67" s="136"/>
      <c r="T67" s="98">
        <v>46235</v>
      </c>
      <c r="U67" s="90" t="s">
        <v>485</v>
      </c>
      <c r="V67" s="146">
        <v>14763.2</v>
      </c>
      <c r="W67" s="127"/>
      <c r="X67" s="127"/>
      <c r="Y67" s="190">
        <f>SUM(Y66+V67)</f>
        <v>233150.9</v>
      </c>
      <c r="Z67" s="191">
        <f>SUM(Z66+V67)</f>
        <v>634591.6</v>
      </c>
    </row>
    <row r="68" spans="1:29" ht="14.25" customHeight="1" x14ac:dyDescent="0.3">
      <c r="L68" s="136"/>
      <c r="M68" s="136"/>
      <c r="N68" s="136"/>
      <c r="O68" s="136"/>
      <c r="T68" s="93">
        <v>46238</v>
      </c>
      <c r="U68" s="94" t="s">
        <v>135</v>
      </c>
      <c r="V68" s="192">
        <v>-17000</v>
      </c>
      <c r="W68" s="192"/>
      <c r="X68" s="192"/>
      <c r="Y68" s="190">
        <f t="shared" ref="Y68:Y81" si="1">SUM(Y67+V68)</f>
        <v>216150.9</v>
      </c>
      <c r="Z68" s="191">
        <f t="shared" ref="Z68:Z81" si="2">SUM(Z67+V68)</f>
        <v>617591.6</v>
      </c>
    </row>
    <row r="69" spans="1:29" ht="14.25" customHeight="1" x14ac:dyDescent="0.3">
      <c r="L69" s="136"/>
      <c r="M69" s="136"/>
      <c r="N69" s="136"/>
      <c r="O69" s="136"/>
      <c r="T69" s="91">
        <v>46239</v>
      </c>
      <c r="U69" s="90" t="s">
        <v>486</v>
      </c>
      <c r="V69" s="146">
        <v>16036</v>
      </c>
      <c r="W69" s="131"/>
      <c r="X69" s="131"/>
      <c r="Y69" s="190">
        <f t="shared" si="1"/>
        <v>232186.9</v>
      </c>
      <c r="Z69" s="191">
        <f t="shared" si="2"/>
        <v>633627.6</v>
      </c>
    </row>
    <row r="70" spans="1:29" ht="14.25" customHeight="1" x14ac:dyDescent="0.3">
      <c r="L70" s="136"/>
      <c r="M70" s="136"/>
      <c r="N70" s="136"/>
      <c r="O70" s="136"/>
      <c r="T70" s="93">
        <v>46241</v>
      </c>
      <c r="U70" s="94" t="s">
        <v>135</v>
      </c>
      <c r="V70" s="193">
        <v>-15000</v>
      </c>
      <c r="W70" s="194"/>
      <c r="X70" s="194"/>
      <c r="Y70" s="190">
        <f t="shared" si="1"/>
        <v>217186.9</v>
      </c>
      <c r="Z70" s="191">
        <f t="shared" si="2"/>
        <v>618627.6</v>
      </c>
    </row>
    <row r="71" spans="1:29" ht="14.25" customHeight="1" x14ac:dyDescent="0.3">
      <c r="L71" s="136"/>
      <c r="M71" s="136"/>
      <c r="N71" s="136"/>
      <c r="O71" s="136"/>
      <c r="T71" s="98">
        <v>46242</v>
      </c>
      <c r="U71" s="90" t="s">
        <v>487</v>
      </c>
      <c r="V71" s="195">
        <v>11837</v>
      </c>
      <c r="W71" s="127"/>
      <c r="X71" s="127"/>
      <c r="Y71" s="190">
        <f t="shared" si="1"/>
        <v>229023.9</v>
      </c>
      <c r="Z71" s="191">
        <f t="shared" si="2"/>
        <v>630464.6</v>
      </c>
    </row>
    <row r="72" spans="1:29" ht="14.25" customHeight="1" x14ac:dyDescent="0.3">
      <c r="L72" s="136"/>
      <c r="M72" s="136"/>
      <c r="N72" s="136"/>
      <c r="O72" s="136"/>
      <c r="T72" s="93">
        <v>46244</v>
      </c>
      <c r="U72" s="94" t="s">
        <v>135</v>
      </c>
      <c r="V72" s="193">
        <v>-10000</v>
      </c>
      <c r="W72" s="193"/>
      <c r="X72" s="193"/>
      <c r="Y72" s="190">
        <f t="shared" si="1"/>
        <v>219023.9</v>
      </c>
      <c r="Z72" s="191">
        <f t="shared" si="2"/>
        <v>620464.6</v>
      </c>
    </row>
    <row r="73" spans="1:29" ht="14.25" customHeight="1" x14ac:dyDescent="0.3">
      <c r="L73" s="136"/>
      <c r="M73" s="136"/>
      <c r="N73" s="136"/>
      <c r="O73" s="136"/>
      <c r="T73" s="98">
        <v>46245</v>
      </c>
      <c r="U73" s="90" t="s">
        <v>488</v>
      </c>
      <c r="V73" s="195">
        <v>8781</v>
      </c>
      <c r="W73" s="127"/>
      <c r="X73" s="127"/>
      <c r="Y73" s="190">
        <f t="shared" si="1"/>
        <v>227804.9</v>
      </c>
      <c r="Z73" s="191">
        <f t="shared" si="2"/>
        <v>629245.6</v>
      </c>
      <c r="AC73" s="79"/>
    </row>
    <row r="74" spans="1:29" ht="14.25" customHeight="1" x14ac:dyDescent="0.3">
      <c r="L74" s="136"/>
      <c r="M74" s="136"/>
      <c r="N74" s="136"/>
      <c r="O74" s="136"/>
      <c r="T74" s="93">
        <v>46246</v>
      </c>
      <c r="U74" s="94" t="s">
        <v>135</v>
      </c>
      <c r="V74" s="193">
        <v>-10000</v>
      </c>
      <c r="W74" s="193"/>
      <c r="X74" s="193"/>
      <c r="Y74" s="190">
        <f t="shared" si="1"/>
        <v>217804.9</v>
      </c>
      <c r="Z74" s="191">
        <f t="shared" si="2"/>
        <v>619245.6</v>
      </c>
      <c r="AC74" s="79"/>
    </row>
    <row r="75" spans="1:29" ht="14.25" customHeight="1" x14ac:dyDescent="0.3">
      <c r="L75" s="136"/>
      <c r="M75" s="136"/>
      <c r="N75" s="136"/>
      <c r="O75" s="136"/>
      <c r="T75" s="98">
        <v>46246</v>
      </c>
      <c r="U75" s="90" t="s">
        <v>489</v>
      </c>
      <c r="V75" s="195">
        <v>8781</v>
      </c>
      <c r="W75" s="93"/>
      <c r="X75" s="93"/>
      <c r="Y75" s="190">
        <f t="shared" si="1"/>
        <v>226585.9</v>
      </c>
      <c r="Z75" s="191">
        <f t="shared" si="2"/>
        <v>628026.6</v>
      </c>
    </row>
    <row r="76" spans="1:29" ht="14.25" customHeight="1" x14ac:dyDescent="0.3">
      <c r="L76" s="136"/>
      <c r="M76" s="136"/>
      <c r="N76" s="136"/>
      <c r="O76" s="136"/>
      <c r="T76" s="93">
        <v>46247</v>
      </c>
      <c r="U76" s="94" t="s">
        <v>135</v>
      </c>
      <c r="V76" s="193">
        <v>-15000</v>
      </c>
      <c r="W76" s="193"/>
      <c r="X76" s="193"/>
      <c r="Y76" s="190">
        <f t="shared" si="1"/>
        <v>211585.9</v>
      </c>
      <c r="Z76" s="191">
        <f t="shared" si="2"/>
        <v>613026.6</v>
      </c>
    </row>
    <row r="77" spans="1:29" ht="14.25" customHeight="1" x14ac:dyDescent="0.3">
      <c r="L77" s="136"/>
      <c r="M77" s="136"/>
      <c r="N77" s="136"/>
      <c r="O77" s="136"/>
      <c r="T77" s="98">
        <v>46247</v>
      </c>
      <c r="U77" s="90" t="s">
        <v>490</v>
      </c>
      <c r="V77" s="195">
        <v>13276</v>
      </c>
      <c r="W77" s="103"/>
      <c r="X77" s="103"/>
      <c r="Y77" s="190">
        <f t="shared" si="1"/>
        <v>224861.9</v>
      </c>
      <c r="Z77" s="191">
        <f t="shared" si="2"/>
        <v>626302.6</v>
      </c>
    </row>
    <row r="78" spans="1:29" ht="14.25" customHeight="1" x14ac:dyDescent="0.3">
      <c r="L78" s="136"/>
      <c r="M78" s="136"/>
      <c r="N78" s="136"/>
      <c r="O78" s="136"/>
      <c r="T78" s="98">
        <v>46248</v>
      </c>
      <c r="U78" s="90" t="s">
        <v>491</v>
      </c>
      <c r="V78" s="195">
        <v>14889</v>
      </c>
      <c r="W78" s="98"/>
      <c r="X78" s="98"/>
      <c r="Y78" s="190">
        <f t="shared" si="1"/>
        <v>239750.9</v>
      </c>
      <c r="Z78" s="191">
        <f t="shared" si="2"/>
        <v>641191.6</v>
      </c>
    </row>
    <row r="79" spans="1:29" ht="14.25" customHeight="1" x14ac:dyDescent="0.3">
      <c r="L79" s="136"/>
      <c r="M79" s="136"/>
      <c r="N79" s="136"/>
      <c r="O79" s="136"/>
      <c r="T79" s="98">
        <v>46252</v>
      </c>
      <c r="U79" s="90" t="s">
        <v>492</v>
      </c>
      <c r="V79" s="195">
        <v>14226</v>
      </c>
      <c r="W79" s="98"/>
      <c r="X79" s="98"/>
      <c r="Y79" s="190">
        <f t="shared" si="1"/>
        <v>253976.9</v>
      </c>
      <c r="Z79" s="191">
        <f t="shared" si="2"/>
        <v>655417.59999999998</v>
      </c>
    </row>
    <row r="80" spans="1:29" ht="14.25" customHeight="1" x14ac:dyDescent="0.3">
      <c r="L80" s="136"/>
      <c r="M80" s="136"/>
      <c r="N80" s="136"/>
      <c r="O80" s="136"/>
      <c r="T80" s="93">
        <v>46252</v>
      </c>
      <c r="U80" s="94" t="s">
        <v>135</v>
      </c>
      <c r="V80" s="193">
        <v>-15000</v>
      </c>
      <c r="W80" s="193"/>
      <c r="X80" s="193"/>
      <c r="Y80" s="190">
        <f t="shared" si="1"/>
        <v>238976.9</v>
      </c>
      <c r="Z80" s="191">
        <f t="shared" si="2"/>
        <v>640417.6</v>
      </c>
    </row>
    <row r="81" spans="12:26" ht="14.25" customHeight="1" x14ac:dyDescent="0.3">
      <c r="L81" s="136"/>
      <c r="M81" s="136"/>
      <c r="N81" s="136"/>
      <c r="O81" s="136"/>
      <c r="T81" s="98">
        <v>46255</v>
      </c>
      <c r="U81" s="90" t="s">
        <v>493</v>
      </c>
      <c r="V81" s="196">
        <v>14885</v>
      </c>
      <c r="W81" s="98"/>
      <c r="X81" s="98"/>
      <c r="Y81" s="190">
        <f t="shared" si="1"/>
        <v>253861.9</v>
      </c>
      <c r="Z81" s="191">
        <f t="shared" si="2"/>
        <v>655302.6</v>
      </c>
    </row>
    <row r="82" spans="12:26" ht="14.25" customHeight="1" thickBot="1" x14ac:dyDescent="0.35">
      <c r="L82" s="136"/>
      <c r="M82" s="136"/>
      <c r="N82" s="136"/>
      <c r="O82" s="136"/>
      <c r="T82" s="66"/>
      <c r="V82" s="176">
        <f>SUM(V66:V81)</f>
        <v>253861.9</v>
      </c>
      <c r="W82" s="197">
        <f>SUM(W67:W81)</f>
        <v>0</v>
      </c>
      <c r="X82" s="197"/>
      <c r="Y82" s="202"/>
      <c r="Z82" s="139"/>
    </row>
    <row r="83" spans="12:26" ht="14.25" customHeight="1" thickTop="1" x14ac:dyDescent="0.3">
      <c r="L83" s="136"/>
      <c r="M83" s="136"/>
      <c r="N83" s="136"/>
      <c r="O83" s="136"/>
      <c r="W83" s="98"/>
      <c r="X83" s="98"/>
      <c r="Z83" s="138"/>
    </row>
    <row r="84" spans="12:26" ht="14.25" customHeight="1" x14ac:dyDescent="0.3">
      <c r="L84" s="136"/>
      <c r="M84" s="136"/>
      <c r="N84" s="136"/>
      <c r="O84" s="136"/>
      <c r="W84" s="98"/>
      <c r="X84" s="98"/>
      <c r="Y84" s="72"/>
      <c r="Z84" s="132"/>
    </row>
    <row r="85" spans="12:26" ht="14.25" customHeight="1" x14ac:dyDescent="0.3">
      <c r="L85" s="136"/>
      <c r="M85" s="136"/>
      <c r="N85" s="136"/>
      <c r="O85" s="136"/>
      <c r="W85" s="98"/>
      <c r="X85" s="98"/>
      <c r="Y85" s="72"/>
      <c r="Z85" s="132"/>
    </row>
    <row r="86" spans="12:26" ht="14.25" customHeight="1" x14ac:dyDescent="0.3">
      <c r="L86" s="136"/>
      <c r="M86" s="136"/>
      <c r="N86" s="136"/>
      <c r="O86" s="136"/>
      <c r="W86" s="98"/>
      <c r="X86" s="98"/>
      <c r="Y86" s="72"/>
      <c r="Z86" s="146"/>
    </row>
    <row r="87" spans="12:26" ht="14.25" customHeight="1" x14ac:dyDescent="0.3">
      <c r="L87" s="136"/>
      <c r="M87" s="136"/>
      <c r="N87" s="136"/>
      <c r="O87" s="136"/>
      <c r="W87" s="98"/>
      <c r="X87" s="98"/>
      <c r="Z87" s="139"/>
    </row>
    <row r="88" spans="12:26" ht="14.25" customHeight="1" x14ac:dyDescent="0.3">
      <c r="L88" s="136"/>
      <c r="M88" s="136"/>
      <c r="N88" s="136"/>
      <c r="O88" s="136"/>
      <c r="W88" s="98"/>
      <c r="X88" s="98"/>
      <c r="Z88" s="139"/>
    </row>
    <row r="89" spans="12:26" ht="14.25" customHeight="1" x14ac:dyDescent="0.3">
      <c r="L89" s="136"/>
      <c r="M89" s="136"/>
      <c r="N89" s="136"/>
      <c r="O89" s="136"/>
      <c r="W89" s="98"/>
      <c r="X89" s="98"/>
      <c r="Y89" s="72"/>
      <c r="Z89" s="147"/>
    </row>
    <row r="90" spans="12:26" ht="14.25" customHeight="1" x14ac:dyDescent="0.3">
      <c r="L90" s="136"/>
      <c r="M90" s="136"/>
      <c r="N90" s="136"/>
      <c r="O90" s="136"/>
      <c r="W90" s="98"/>
      <c r="X90" s="98"/>
      <c r="Y90" s="72"/>
      <c r="Z90" s="147"/>
    </row>
    <row r="91" spans="12:26" ht="14.25" customHeight="1" x14ac:dyDescent="0.3">
      <c r="L91" s="136"/>
      <c r="M91" s="136"/>
      <c r="N91" s="136"/>
      <c r="O91" s="136"/>
      <c r="W91" s="98"/>
      <c r="X91" s="98"/>
      <c r="Z91" s="139"/>
    </row>
    <row r="92" spans="12:26" ht="14.25" customHeight="1" x14ac:dyDescent="0.3">
      <c r="L92" s="136"/>
      <c r="M92" s="136"/>
      <c r="N92" s="136"/>
      <c r="O92" s="136"/>
      <c r="W92" s="98"/>
      <c r="X92" s="98"/>
      <c r="Y92" s="72"/>
      <c r="Z92" s="147"/>
    </row>
    <row r="93" spans="12:26" ht="14.25" customHeight="1" x14ac:dyDescent="0.3">
      <c r="L93" s="136"/>
      <c r="M93" s="136"/>
      <c r="N93" s="136"/>
      <c r="O93" s="136"/>
      <c r="W93" s="98"/>
      <c r="X93" s="98"/>
      <c r="Y93" s="72"/>
      <c r="Z93" s="147"/>
    </row>
    <row r="94" spans="12:26" ht="14.25" customHeight="1" x14ac:dyDescent="0.3">
      <c r="L94" s="136"/>
      <c r="M94" s="136"/>
      <c r="N94" s="136"/>
      <c r="O94" s="136"/>
      <c r="W94" s="98"/>
      <c r="X94" s="98"/>
      <c r="Y94" s="72"/>
      <c r="Z94" s="138"/>
    </row>
    <row r="95" spans="12:26" ht="14.25" customHeight="1" x14ac:dyDescent="0.3">
      <c r="L95" s="136"/>
      <c r="M95" s="136"/>
      <c r="N95" s="136"/>
      <c r="O95" s="136"/>
      <c r="W95" s="98"/>
      <c r="X95" s="98"/>
      <c r="Y95" s="72"/>
      <c r="Z95" s="139"/>
    </row>
    <row r="96" spans="12:26" ht="14.25" customHeight="1" x14ac:dyDescent="0.3">
      <c r="L96" s="136"/>
      <c r="M96" s="136"/>
      <c r="N96" s="136"/>
      <c r="O96" s="136"/>
      <c r="W96" s="98"/>
      <c r="X96" s="98"/>
      <c r="Y96" s="72"/>
      <c r="Z96" s="132"/>
    </row>
    <row r="97" spans="12:26" ht="14.25" customHeight="1" x14ac:dyDescent="0.3">
      <c r="L97" s="136"/>
      <c r="M97" s="136"/>
      <c r="N97" s="136"/>
      <c r="O97" s="136"/>
      <c r="W97" s="98"/>
      <c r="X97" s="98"/>
      <c r="Y97" s="72"/>
      <c r="Z97" s="132"/>
    </row>
    <row r="98" spans="12:26" ht="14.25" customHeight="1" x14ac:dyDescent="0.3">
      <c r="L98" s="136"/>
      <c r="M98" s="136"/>
      <c r="N98" s="136"/>
      <c r="O98" s="136"/>
      <c r="Z98" s="132"/>
    </row>
    <row r="99" spans="12:26" ht="14.25" customHeight="1" x14ac:dyDescent="0.3">
      <c r="L99" s="136"/>
      <c r="M99" s="136"/>
      <c r="N99" s="136"/>
      <c r="O99" s="136"/>
      <c r="W99" s="98"/>
      <c r="X99" s="98"/>
      <c r="Z99" s="135"/>
    </row>
    <row r="100" spans="12:26" ht="14.25" customHeight="1" x14ac:dyDescent="0.3">
      <c r="L100" s="136"/>
      <c r="M100" s="136"/>
      <c r="N100" s="136"/>
      <c r="O100" s="136"/>
      <c r="W100" s="98"/>
      <c r="X100" s="98"/>
      <c r="Y100" s="72"/>
      <c r="Z100" s="139"/>
    </row>
    <row r="101" spans="12:26" ht="14.25" customHeight="1" x14ac:dyDescent="0.3">
      <c r="L101" s="136"/>
      <c r="M101" s="136"/>
      <c r="N101" s="136"/>
      <c r="O101" s="136"/>
      <c r="W101" s="98"/>
      <c r="X101" s="98"/>
      <c r="Y101" s="72"/>
      <c r="Z101" s="138"/>
    </row>
    <row r="102" spans="12:26" ht="14.25" customHeight="1" x14ac:dyDescent="0.3">
      <c r="L102" s="136"/>
      <c r="M102" s="136"/>
      <c r="N102" s="136"/>
      <c r="O102" s="136"/>
      <c r="W102" s="98"/>
      <c r="X102" s="98"/>
      <c r="Y102" s="72"/>
      <c r="Z102" s="138"/>
    </row>
    <row r="103" spans="12:26" ht="14.25" customHeight="1" x14ac:dyDescent="0.3">
      <c r="L103" s="136"/>
      <c r="M103" s="136"/>
      <c r="N103" s="136"/>
      <c r="O103" s="136"/>
      <c r="W103" s="98"/>
      <c r="X103" s="98"/>
      <c r="Y103" s="72"/>
      <c r="Z103" s="138"/>
    </row>
    <row r="104" spans="12:26" ht="14.25" customHeight="1" x14ac:dyDescent="0.3">
      <c r="L104" s="136"/>
      <c r="M104" s="136"/>
      <c r="N104" s="136"/>
      <c r="O104" s="136"/>
      <c r="W104" s="98"/>
      <c r="X104" s="98"/>
      <c r="Y104" s="72"/>
      <c r="Z104" s="138"/>
    </row>
    <row r="105" spans="12:26" ht="14.25" customHeight="1" x14ac:dyDescent="0.3">
      <c r="L105" s="136"/>
      <c r="M105" s="136"/>
      <c r="N105" s="136"/>
      <c r="O105" s="136"/>
      <c r="W105" s="98"/>
      <c r="X105" s="98"/>
      <c r="Y105" s="72"/>
      <c r="Z105" s="138"/>
    </row>
    <row r="106" spans="12:26" ht="14.25" customHeight="1" x14ac:dyDescent="0.3">
      <c r="L106" s="136"/>
      <c r="M106" s="136"/>
      <c r="N106" s="136"/>
      <c r="O106" s="136"/>
      <c r="W106" s="98"/>
      <c r="X106" s="98"/>
      <c r="Z106" s="135"/>
    </row>
    <row r="107" spans="12:26" ht="14.25" customHeight="1" x14ac:dyDescent="0.3">
      <c r="L107" s="136"/>
      <c r="M107" s="136"/>
      <c r="N107" s="136"/>
      <c r="O107" s="136"/>
      <c r="W107" s="98"/>
      <c r="X107" s="98"/>
      <c r="Y107" s="72"/>
      <c r="Z107" s="138"/>
    </row>
    <row r="108" spans="12:26" ht="14.25" customHeight="1" x14ac:dyDescent="0.3">
      <c r="L108" s="136"/>
      <c r="M108" s="136"/>
      <c r="N108" s="136"/>
      <c r="O108" s="136"/>
      <c r="W108" s="98"/>
      <c r="X108" s="98"/>
      <c r="Y108" s="72"/>
      <c r="Z108" s="138"/>
    </row>
    <row r="109" spans="12:26" ht="14.25" customHeight="1" x14ac:dyDescent="0.3">
      <c r="L109" s="136"/>
      <c r="M109" s="136"/>
      <c r="N109" s="136"/>
      <c r="O109" s="136"/>
      <c r="W109" s="98"/>
      <c r="X109" s="98"/>
      <c r="Y109" s="72"/>
      <c r="Z109" s="138"/>
    </row>
    <row r="110" spans="12:26" ht="14.25" customHeight="1" x14ac:dyDescent="0.3">
      <c r="L110" s="136"/>
      <c r="M110" s="136"/>
      <c r="N110" s="136"/>
      <c r="O110" s="136"/>
      <c r="W110" s="98"/>
      <c r="X110" s="98"/>
      <c r="Z110" s="139"/>
    </row>
    <row r="111" spans="12:26" ht="14.25" customHeight="1" x14ac:dyDescent="0.3">
      <c r="L111" s="136"/>
      <c r="M111" s="136"/>
      <c r="N111" s="136"/>
      <c r="O111" s="136"/>
      <c r="W111" s="98"/>
      <c r="X111" s="98"/>
      <c r="Z111" s="139"/>
    </row>
    <row r="112" spans="12:26" ht="14.25" customHeight="1" x14ac:dyDescent="0.3">
      <c r="L112" s="136"/>
      <c r="M112" s="136"/>
      <c r="N112" s="136"/>
      <c r="O112" s="136"/>
      <c r="W112" s="98"/>
      <c r="X112" s="98"/>
      <c r="Y112" s="72"/>
      <c r="Z112" s="138"/>
    </row>
    <row r="113" spans="12:26" ht="14.25" customHeight="1" x14ac:dyDescent="0.3">
      <c r="L113" s="136"/>
      <c r="M113" s="136"/>
      <c r="N113" s="136"/>
      <c r="O113" s="136"/>
      <c r="W113" s="98"/>
      <c r="X113" s="98"/>
      <c r="Y113" s="72"/>
      <c r="Z113" s="138"/>
    </row>
    <row r="114" spans="12:26" ht="14.25" customHeight="1" x14ac:dyDescent="0.3">
      <c r="L114" s="136"/>
      <c r="M114" s="136"/>
      <c r="N114" s="136"/>
      <c r="O114" s="136"/>
      <c r="W114" s="98"/>
      <c r="X114" s="98"/>
      <c r="Z114" s="139"/>
    </row>
    <row r="115" spans="12:26" ht="14.25" customHeight="1" x14ac:dyDescent="0.3">
      <c r="L115" s="136"/>
      <c r="M115" s="136"/>
      <c r="N115" s="136"/>
      <c r="O115" s="136"/>
      <c r="W115" s="98"/>
      <c r="X115" s="98"/>
      <c r="Y115" s="72"/>
      <c r="Z115" s="100"/>
    </row>
    <row r="116" spans="12:26" ht="14.25" customHeight="1" x14ac:dyDescent="0.3">
      <c r="L116" s="136"/>
      <c r="M116" s="136"/>
      <c r="N116" s="136"/>
      <c r="O116" s="136"/>
      <c r="W116" s="98"/>
      <c r="X116" s="98"/>
      <c r="Y116" s="72"/>
      <c r="Z116" s="132"/>
    </row>
    <row r="117" spans="12:26" ht="14.25" customHeight="1" x14ac:dyDescent="0.3">
      <c r="L117" s="136"/>
      <c r="M117" s="136"/>
      <c r="N117" s="136"/>
      <c r="O117" s="136"/>
      <c r="W117" s="98"/>
      <c r="X117" s="98"/>
      <c r="Y117" s="72"/>
      <c r="Z117" s="132"/>
    </row>
    <row r="118" spans="12:26" ht="14.25" customHeight="1" x14ac:dyDescent="0.3">
      <c r="L118" s="136"/>
      <c r="M118" s="136"/>
      <c r="N118" s="136"/>
      <c r="O118" s="136"/>
      <c r="Z118" s="138"/>
    </row>
    <row r="119" spans="12:26" ht="14.25" customHeight="1" x14ac:dyDescent="0.3">
      <c r="L119" s="136"/>
      <c r="M119" s="136"/>
      <c r="N119" s="136"/>
      <c r="O119" s="136"/>
    </row>
    <row r="120" spans="12:26" ht="14.25" customHeight="1" x14ac:dyDescent="0.3">
      <c r="L120" s="136"/>
      <c r="M120" s="136"/>
      <c r="N120" s="136"/>
      <c r="O120" s="136"/>
    </row>
    <row r="121" spans="12:26" ht="14.25" customHeight="1" x14ac:dyDescent="0.3">
      <c r="L121" s="136"/>
      <c r="M121" s="136"/>
      <c r="N121" s="136"/>
      <c r="O121" s="136"/>
    </row>
    <row r="122" spans="12:26" ht="14.25" customHeight="1" x14ac:dyDescent="0.3">
      <c r="L122" s="136"/>
      <c r="M122" s="136"/>
      <c r="N122" s="136"/>
      <c r="O122" s="136"/>
    </row>
    <row r="123" spans="12:26" ht="14.25" customHeight="1" x14ac:dyDescent="0.3">
      <c r="L123" s="136"/>
      <c r="M123" s="136"/>
      <c r="N123" s="136"/>
      <c r="O123" s="136"/>
    </row>
    <row r="124" spans="12:26" ht="14.25" customHeight="1" x14ac:dyDescent="0.3">
      <c r="L124" s="136"/>
      <c r="M124" s="136"/>
      <c r="N124" s="136"/>
      <c r="O124" s="136"/>
    </row>
    <row r="125" spans="12:26" ht="14.25" customHeight="1" x14ac:dyDescent="0.3">
      <c r="L125" s="136"/>
      <c r="M125" s="136"/>
      <c r="N125" s="136"/>
      <c r="O125" s="136"/>
    </row>
    <row r="126" spans="12:26" ht="14.25" customHeight="1" x14ac:dyDescent="0.3">
      <c r="L126" s="136"/>
      <c r="M126" s="136"/>
      <c r="N126" s="136"/>
      <c r="O126" s="136"/>
    </row>
    <row r="127" spans="12:26" ht="14.25" customHeight="1" x14ac:dyDescent="0.3">
      <c r="L127" s="136"/>
      <c r="M127" s="136"/>
      <c r="N127" s="136"/>
      <c r="O127" s="136"/>
    </row>
    <row r="128" spans="12:26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honeticPr fontId="21" type="noConversion"/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6430-1D94-435A-BB88-1ADE43FE9189}">
  <sheetPr codeName="Sheet52"/>
  <dimension ref="A1:AJ1003"/>
  <sheetViews>
    <sheetView topLeftCell="B18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2" style="66" customWidth="1"/>
    <col min="24" max="24" width="1.75" style="66" customWidth="1"/>
    <col min="25" max="25" width="10.9140625" style="66" customWidth="1"/>
    <col min="26" max="26" width="11" customWidth="1"/>
    <col min="27" max="27" width="9.75" bestFit="1" customWidth="1"/>
    <col min="28" max="28" width="10.08203125" customWidth="1"/>
    <col min="29" max="29" width="11.33203125" customWidth="1"/>
    <col min="30" max="30" width="6.58203125" customWidth="1"/>
    <col min="31" max="1030" width="12.83203125" customWidth="1"/>
    <col min="1031" max="1031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495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496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6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497</v>
      </c>
      <c r="O17" s="10"/>
    </row>
    <row r="18" spans="1:36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6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6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6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6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72"/>
      <c r="Y22" s="66">
        <v>1225</v>
      </c>
      <c r="Z22" s="72" t="s">
        <v>116</v>
      </c>
      <c r="AA22" s="72" t="s">
        <v>117</v>
      </c>
      <c r="AB22" s="72" t="s">
        <v>118</v>
      </c>
      <c r="AC22" s="73" t="s">
        <v>119</v>
      </c>
      <c r="AD22" s="74" t="s">
        <v>120</v>
      </c>
      <c r="AE22" s="74" t="s">
        <v>121</v>
      </c>
      <c r="AF22" s="75" t="s">
        <v>122</v>
      </c>
      <c r="AG22" s="74" t="s">
        <v>123</v>
      </c>
      <c r="AH22" s="74" t="s">
        <v>124</v>
      </c>
      <c r="AI22" s="74" t="s">
        <v>125</v>
      </c>
      <c r="AJ22" s="74" t="s">
        <v>125</v>
      </c>
    </row>
    <row r="23" spans="1:36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/>
      <c r="Y23" s="79">
        <v>6.8</v>
      </c>
      <c r="Z23" s="79">
        <v>6.9</v>
      </c>
      <c r="AA23" s="79">
        <v>7</v>
      </c>
      <c r="AC23" s="79"/>
      <c r="AD23" s="66"/>
      <c r="AE23" s="80">
        <v>7.2</v>
      </c>
      <c r="AG23" s="79">
        <v>7.3</v>
      </c>
      <c r="AH23" s="79">
        <v>7.4</v>
      </c>
      <c r="AI23" s="79">
        <v>7.4</v>
      </c>
      <c r="AJ23" s="79">
        <v>7.4</v>
      </c>
    </row>
    <row r="24" spans="1:36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7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/>
      <c r="Z24" s="79"/>
      <c r="AA24" s="79">
        <v>5.9</v>
      </c>
      <c r="AB24" s="79">
        <v>5.9</v>
      </c>
      <c r="AC24" s="79"/>
      <c r="AD24" s="66"/>
      <c r="AE24" s="80"/>
      <c r="AF24" s="79">
        <v>5.8</v>
      </c>
      <c r="AH24" s="79">
        <v>5.9</v>
      </c>
      <c r="AI24" s="79">
        <v>6.1</v>
      </c>
    </row>
    <row r="25" spans="1:36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Y25"/>
      <c r="AA25" s="79">
        <v>5.0999999999999996</v>
      </c>
      <c r="AB25" s="79"/>
      <c r="AC25" s="79">
        <v>5.5</v>
      </c>
      <c r="AD25" s="66"/>
      <c r="AE25" s="66"/>
      <c r="AF25" s="79">
        <v>5.3</v>
      </c>
      <c r="AH25" s="79">
        <v>5.3</v>
      </c>
      <c r="AI25" s="81">
        <v>6</v>
      </c>
      <c r="AJ25" s="79">
        <v>6.1</v>
      </c>
    </row>
    <row r="26" spans="1:36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Y26"/>
      <c r="AA26" s="79"/>
      <c r="AC26" s="79"/>
      <c r="AD26" s="66"/>
      <c r="AE26" s="66"/>
      <c r="AJ26" s="81">
        <v>5.5</v>
      </c>
    </row>
    <row r="27" spans="1:36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6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B28" s="79"/>
      <c r="AC28" s="79"/>
      <c r="AD28" s="79"/>
    </row>
    <row r="29" spans="1:36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6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Z30" s="84"/>
      <c r="AA30" s="84"/>
      <c r="AB30" s="84"/>
    </row>
    <row r="31" spans="1:36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Z31" s="87"/>
      <c r="AA31" s="84"/>
      <c r="AB31" s="88"/>
    </row>
    <row r="32" spans="1:36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Z32" s="91"/>
      <c r="AA32" s="84"/>
      <c r="AB32" s="92"/>
    </row>
    <row r="33" spans="1:3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Z33" s="91"/>
      <c r="AA33" s="96"/>
      <c r="AB33" s="97"/>
    </row>
    <row r="34" spans="1:3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Z34" s="91"/>
      <c r="AA34" s="96"/>
      <c r="AB34" s="88"/>
      <c r="AE34" s="66"/>
    </row>
    <row r="35" spans="1:3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Z35" s="91"/>
      <c r="AA35" s="96"/>
      <c r="AB35" s="97"/>
    </row>
    <row r="36" spans="1:3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Z36" s="91"/>
      <c r="AA36" s="96"/>
      <c r="AB36" s="99"/>
    </row>
    <row r="37" spans="1:3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Z37" s="91"/>
      <c r="AA37" s="96"/>
      <c r="AB37" s="100"/>
    </row>
    <row r="38" spans="1:3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101"/>
      <c r="Y38" s="95"/>
      <c r="Z38" s="91"/>
      <c r="AA38" s="96"/>
      <c r="AB38" s="102"/>
    </row>
    <row r="39" spans="1:3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3"/>
      <c r="Y39" s="104"/>
      <c r="Z39" s="91"/>
      <c r="AA39" s="96"/>
      <c r="AB39" s="100"/>
    </row>
    <row r="40" spans="1:3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3"/>
      <c r="Y40" s="104"/>
      <c r="Z40" s="91"/>
      <c r="AA40" s="96"/>
      <c r="AB40" s="105"/>
    </row>
    <row r="41" spans="1:3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101"/>
      <c r="Y41" s="95"/>
      <c r="Z41" s="91"/>
      <c r="AA41" s="96"/>
      <c r="AB41" s="105"/>
    </row>
    <row r="42" spans="1:3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3"/>
      <c r="Y42" s="106"/>
      <c r="Z42" s="91"/>
      <c r="AA42" s="96"/>
      <c r="AB42" s="105"/>
    </row>
    <row r="43" spans="1:3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3"/>
      <c r="Y43" s="104"/>
      <c r="Z43" s="91"/>
      <c r="AA43" s="96"/>
      <c r="AB43" s="105"/>
    </row>
    <row r="44" spans="1:3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101"/>
      <c r="Y44" s="95"/>
      <c r="Z44" s="91"/>
      <c r="AA44" s="96"/>
      <c r="AB44" s="97"/>
    </row>
    <row r="45" spans="1:3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7"/>
      <c r="Y45" s="108"/>
      <c r="Z45" s="91"/>
      <c r="AA45" s="96"/>
      <c r="AB45" s="102"/>
    </row>
    <row r="46" spans="1:3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7"/>
      <c r="Y46" s="109"/>
      <c r="Z46" s="91"/>
      <c r="AA46" s="96"/>
      <c r="AB46" s="105"/>
    </row>
    <row r="47" spans="1:3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7"/>
      <c r="Y47" s="108"/>
      <c r="Z47" s="91"/>
      <c r="AA47" s="96"/>
      <c r="AB47" s="105"/>
    </row>
    <row r="48" spans="1:3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7"/>
      <c r="Y48" s="108"/>
      <c r="Z48" s="91"/>
      <c r="AA48" s="96"/>
      <c r="AB48" s="105"/>
    </row>
    <row r="49" spans="1:30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10"/>
      <c r="Y49" s="109"/>
      <c r="Z49" s="91"/>
      <c r="AA49" s="96"/>
      <c r="AB49" s="105"/>
    </row>
    <row r="50" spans="1:30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7"/>
      <c r="Y50" s="108"/>
      <c r="Z50" s="91"/>
      <c r="AA50" s="96"/>
      <c r="AB50" s="102"/>
    </row>
    <row r="51" spans="1:30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7"/>
      <c r="Y51" s="108"/>
      <c r="Z51" s="91"/>
      <c r="AA51" s="96"/>
      <c r="AB51" s="105"/>
    </row>
    <row r="52" spans="1:30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7"/>
      <c r="Y52" s="108"/>
      <c r="Z52" s="91"/>
      <c r="AA52" s="96"/>
      <c r="AB52" s="105"/>
    </row>
    <row r="53" spans="1:30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7"/>
      <c r="Y53" s="108"/>
      <c r="Z53" s="119"/>
      <c r="AA53" s="91"/>
      <c r="AB53" s="105"/>
    </row>
    <row r="54" spans="1:30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14885</v>
      </c>
      <c r="T54" s="98">
        <v>46213</v>
      </c>
      <c r="U54" s="90" t="s">
        <v>148</v>
      </c>
      <c r="V54" s="132">
        <v>16715</v>
      </c>
      <c r="W54" s="110"/>
      <c r="X54" s="110"/>
      <c r="Y54" s="109"/>
      <c r="Z54" s="119"/>
      <c r="AA54" s="91"/>
      <c r="AB54" s="126"/>
    </row>
    <row r="55" spans="1:30" ht="14.25" customHeight="1" x14ac:dyDescent="0.35">
      <c r="A55" s="10" t="s">
        <v>494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10"/>
      <c r="Y55" s="109"/>
      <c r="Z55" s="119"/>
      <c r="AA55" s="91"/>
      <c r="AB55" s="84"/>
    </row>
    <row r="56" spans="1:30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27"/>
      <c r="Y56" s="108"/>
      <c r="Z56" s="128"/>
    </row>
    <row r="57" spans="1:30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27"/>
      <c r="Y57" s="108"/>
      <c r="Z57" s="129"/>
    </row>
    <row r="58" spans="1:30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10"/>
      <c r="Y58" s="109"/>
      <c r="Z58" s="130"/>
    </row>
    <row r="59" spans="1:30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31"/>
      <c r="Y59" s="109"/>
      <c r="Z59" s="99"/>
    </row>
    <row r="60" spans="1:30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27"/>
      <c r="Y60" s="108"/>
      <c r="Z60" s="132"/>
      <c r="AD60" t="s">
        <v>151</v>
      </c>
    </row>
    <row r="61" spans="1:30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27"/>
      <c r="Y61" s="108"/>
      <c r="Z61" s="129"/>
    </row>
    <row r="62" spans="1:30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31"/>
      <c r="Y62" s="109"/>
      <c r="Z62" s="133"/>
    </row>
    <row r="63" spans="1:30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27"/>
      <c r="Y63" s="108"/>
      <c r="Z63" s="100"/>
    </row>
    <row r="64" spans="1:30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96">
        <v>14935</v>
      </c>
      <c r="W64" s="198"/>
      <c r="X64" s="198"/>
      <c r="Y64" s="189"/>
      <c r="Z64" s="129"/>
    </row>
    <row r="65" spans="1:29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29" ht="14.25" customHeight="1" x14ac:dyDescent="0.3">
      <c r="L66" s="136"/>
      <c r="M66" s="136"/>
      <c r="N66" s="136"/>
      <c r="O66" s="136"/>
      <c r="T66" s="85" t="s">
        <v>484</v>
      </c>
      <c r="V66" s="199">
        <f>SUM(V51:V64)</f>
        <v>218387.69999999998</v>
      </c>
      <c r="W66" s="86"/>
      <c r="X66" s="86"/>
      <c r="Y66" s="200">
        <v>218387.69999999998</v>
      </c>
      <c r="Z66" s="201">
        <v>619828.4</v>
      </c>
    </row>
    <row r="67" spans="1:29" ht="13" customHeight="1" x14ac:dyDescent="0.3">
      <c r="L67" s="136"/>
      <c r="M67" s="136"/>
      <c r="N67" s="136"/>
      <c r="O67" s="136"/>
      <c r="T67" s="98">
        <v>46235</v>
      </c>
      <c r="U67" s="90" t="s">
        <v>485</v>
      </c>
      <c r="V67" s="146">
        <v>14763.2</v>
      </c>
      <c r="W67" s="127"/>
      <c r="X67" s="127"/>
      <c r="Y67" s="190">
        <f>SUM(Y66+V67)</f>
        <v>233150.9</v>
      </c>
      <c r="Z67" s="191">
        <f>SUM(Z66+V67)</f>
        <v>634591.6</v>
      </c>
    </row>
    <row r="68" spans="1:29" ht="14.25" customHeight="1" x14ac:dyDescent="0.3">
      <c r="L68" s="136"/>
      <c r="M68" s="136"/>
      <c r="N68" s="136"/>
      <c r="O68" s="136"/>
      <c r="T68" s="93">
        <v>46238</v>
      </c>
      <c r="U68" s="94" t="s">
        <v>135</v>
      </c>
      <c r="V68" s="192">
        <v>-17000</v>
      </c>
      <c r="W68" s="192"/>
      <c r="X68" s="192"/>
      <c r="Y68" s="190">
        <f t="shared" ref="Y68:Y81" si="1">SUM(Y67+V68)</f>
        <v>216150.9</v>
      </c>
      <c r="Z68" s="191">
        <f t="shared" ref="Z68:Z81" si="2">SUM(Z67+V68)</f>
        <v>617591.6</v>
      </c>
    </row>
    <row r="69" spans="1:29" ht="14.25" customHeight="1" x14ac:dyDescent="0.3">
      <c r="L69" s="136"/>
      <c r="M69" s="136"/>
      <c r="N69" s="136"/>
      <c r="O69" s="136"/>
      <c r="T69" s="91">
        <v>46239</v>
      </c>
      <c r="U69" s="90" t="s">
        <v>486</v>
      </c>
      <c r="V69" s="146">
        <v>16036</v>
      </c>
      <c r="W69" s="131"/>
      <c r="X69" s="131"/>
      <c r="Y69" s="190">
        <f t="shared" si="1"/>
        <v>232186.9</v>
      </c>
      <c r="Z69" s="191">
        <f t="shared" si="2"/>
        <v>633627.6</v>
      </c>
    </row>
    <row r="70" spans="1:29" ht="14.25" customHeight="1" x14ac:dyDescent="0.3">
      <c r="L70" s="136"/>
      <c r="M70" s="136"/>
      <c r="N70" s="136"/>
      <c r="O70" s="136"/>
      <c r="T70" s="93">
        <v>46241</v>
      </c>
      <c r="U70" s="94" t="s">
        <v>135</v>
      </c>
      <c r="V70" s="193">
        <v>-15000</v>
      </c>
      <c r="W70" s="194"/>
      <c r="X70" s="194"/>
      <c r="Y70" s="190">
        <f t="shared" si="1"/>
        <v>217186.9</v>
      </c>
      <c r="Z70" s="191">
        <f t="shared" si="2"/>
        <v>618627.6</v>
      </c>
    </row>
    <row r="71" spans="1:29" ht="14.25" customHeight="1" x14ac:dyDescent="0.3">
      <c r="L71" s="136"/>
      <c r="M71" s="136"/>
      <c r="N71" s="136"/>
      <c r="O71" s="136"/>
      <c r="T71" s="98">
        <v>46242</v>
      </c>
      <c r="U71" s="90" t="s">
        <v>487</v>
      </c>
      <c r="V71" s="195">
        <v>11837</v>
      </c>
      <c r="W71" s="127"/>
      <c r="X71" s="127"/>
      <c r="Y71" s="190">
        <f t="shared" si="1"/>
        <v>229023.9</v>
      </c>
      <c r="Z71" s="191">
        <f t="shared" si="2"/>
        <v>630464.6</v>
      </c>
    </row>
    <row r="72" spans="1:29" ht="14.25" customHeight="1" x14ac:dyDescent="0.3">
      <c r="L72" s="136"/>
      <c r="M72" s="136"/>
      <c r="N72" s="136"/>
      <c r="O72" s="136"/>
      <c r="T72" s="93">
        <v>46244</v>
      </c>
      <c r="U72" s="94" t="s">
        <v>135</v>
      </c>
      <c r="V72" s="193">
        <v>-10000</v>
      </c>
      <c r="W72" s="193"/>
      <c r="X72" s="193"/>
      <c r="Y72" s="190">
        <f t="shared" si="1"/>
        <v>219023.9</v>
      </c>
      <c r="Z72" s="191">
        <f t="shared" si="2"/>
        <v>620464.6</v>
      </c>
    </row>
    <row r="73" spans="1:29" ht="14.25" customHeight="1" x14ac:dyDescent="0.3">
      <c r="L73" s="136"/>
      <c r="M73" s="136"/>
      <c r="N73" s="136"/>
      <c r="O73" s="136"/>
      <c r="T73" s="98">
        <v>46245</v>
      </c>
      <c r="U73" s="90" t="s">
        <v>488</v>
      </c>
      <c r="V73" s="195">
        <v>8781</v>
      </c>
      <c r="W73" s="127"/>
      <c r="X73" s="127"/>
      <c r="Y73" s="190">
        <f t="shared" si="1"/>
        <v>227804.9</v>
      </c>
      <c r="Z73" s="191">
        <f t="shared" si="2"/>
        <v>629245.6</v>
      </c>
      <c r="AC73" s="79"/>
    </row>
    <row r="74" spans="1:29" ht="14.25" customHeight="1" x14ac:dyDescent="0.3">
      <c r="L74" s="136"/>
      <c r="M74" s="136"/>
      <c r="N74" s="136"/>
      <c r="O74" s="136"/>
      <c r="T74" s="93">
        <v>46246</v>
      </c>
      <c r="U74" s="94" t="s">
        <v>135</v>
      </c>
      <c r="V74" s="193">
        <v>-10000</v>
      </c>
      <c r="W74" s="193"/>
      <c r="X74" s="193"/>
      <c r="Y74" s="190">
        <f t="shared" si="1"/>
        <v>217804.9</v>
      </c>
      <c r="Z74" s="191">
        <f t="shared" si="2"/>
        <v>619245.6</v>
      </c>
      <c r="AC74" s="79"/>
    </row>
    <row r="75" spans="1:29" ht="14.25" customHeight="1" x14ac:dyDescent="0.3">
      <c r="L75" s="136"/>
      <c r="M75" s="136"/>
      <c r="N75" s="136"/>
      <c r="O75" s="136"/>
      <c r="T75" s="98">
        <v>46246</v>
      </c>
      <c r="U75" s="90" t="s">
        <v>489</v>
      </c>
      <c r="V75" s="195">
        <v>8781</v>
      </c>
      <c r="W75" s="93"/>
      <c r="X75" s="93"/>
      <c r="Y75" s="190">
        <f t="shared" si="1"/>
        <v>226585.9</v>
      </c>
      <c r="Z75" s="191">
        <f t="shared" si="2"/>
        <v>628026.6</v>
      </c>
    </row>
    <row r="76" spans="1:29" ht="14.25" customHeight="1" x14ac:dyDescent="0.3">
      <c r="L76" s="136"/>
      <c r="M76" s="136"/>
      <c r="N76" s="136"/>
      <c r="O76" s="136"/>
      <c r="T76" s="93">
        <v>46247</v>
      </c>
      <c r="U76" s="94" t="s">
        <v>135</v>
      </c>
      <c r="V76" s="193">
        <v>-15000</v>
      </c>
      <c r="W76" s="193"/>
      <c r="X76" s="193"/>
      <c r="Y76" s="190">
        <f t="shared" si="1"/>
        <v>211585.9</v>
      </c>
      <c r="Z76" s="191">
        <f t="shared" si="2"/>
        <v>613026.6</v>
      </c>
    </row>
    <row r="77" spans="1:29" ht="14.25" customHeight="1" x14ac:dyDescent="0.3">
      <c r="L77" s="136"/>
      <c r="M77" s="136"/>
      <c r="N77" s="136"/>
      <c r="O77" s="136"/>
      <c r="T77" s="98">
        <v>46247</v>
      </c>
      <c r="U77" s="90" t="s">
        <v>490</v>
      </c>
      <c r="V77" s="195">
        <v>13276</v>
      </c>
      <c r="W77" s="103"/>
      <c r="X77" s="103"/>
      <c r="Y77" s="190">
        <f t="shared" si="1"/>
        <v>224861.9</v>
      </c>
      <c r="Z77" s="191">
        <f t="shared" si="2"/>
        <v>626302.6</v>
      </c>
    </row>
    <row r="78" spans="1:29" ht="14.25" customHeight="1" x14ac:dyDescent="0.3">
      <c r="L78" s="136"/>
      <c r="M78" s="136"/>
      <c r="N78" s="136"/>
      <c r="O78" s="136"/>
      <c r="T78" s="98">
        <v>46248</v>
      </c>
      <c r="U78" s="90" t="s">
        <v>491</v>
      </c>
      <c r="V78" s="195">
        <v>14889</v>
      </c>
      <c r="W78" s="98"/>
      <c r="X78" s="98"/>
      <c r="Y78" s="190">
        <f t="shared" si="1"/>
        <v>239750.9</v>
      </c>
      <c r="Z78" s="191">
        <f t="shared" si="2"/>
        <v>641191.6</v>
      </c>
    </row>
    <row r="79" spans="1:29" ht="14.25" customHeight="1" x14ac:dyDescent="0.3">
      <c r="L79" s="136"/>
      <c r="M79" s="136"/>
      <c r="N79" s="136"/>
      <c r="O79" s="136"/>
      <c r="T79" s="98">
        <v>46252</v>
      </c>
      <c r="U79" s="90" t="s">
        <v>492</v>
      </c>
      <c r="V79" s="195">
        <v>14226</v>
      </c>
      <c r="W79" s="98"/>
      <c r="X79" s="98"/>
      <c r="Y79" s="190">
        <f t="shared" si="1"/>
        <v>253976.9</v>
      </c>
      <c r="Z79" s="191">
        <f t="shared" si="2"/>
        <v>655417.59999999998</v>
      </c>
    </row>
    <row r="80" spans="1:29" ht="14.25" customHeight="1" x14ac:dyDescent="0.3">
      <c r="L80" s="136"/>
      <c r="M80" s="136"/>
      <c r="N80" s="136"/>
      <c r="O80" s="136"/>
      <c r="T80" s="93">
        <v>46252</v>
      </c>
      <c r="U80" s="94" t="s">
        <v>135</v>
      </c>
      <c r="V80" s="193">
        <v>-15000</v>
      </c>
      <c r="W80" s="193"/>
      <c r="X80" s="193"/>
      <c r="Y80" s="190">
        <f t="shared" si="1"/>
        <v>238976.9</v>
      </c>
      <c r="Z80" s="191">
        <f t="shared" si="2"/>
        <v>640417.6</v>
      </c>
    </row>
    <row r="81" spans="12:26" ht="14.25" customHeight="1" x14ac:dyDescent="0.3">
      <c r="L81" s="136"/>
      <c r="M81" s="136"/>
      <c r="N81" s="136"/>
      <c r="O81" s="136"/>
      <c r="T81" s="98">
        <v>46255</v>
      </c>
      <c r="U81" s="90" t="s">
        <v>493</v>
      </c>
      <c r="V81" s="146">
        <v>14885</v>
      </c>
      <c r="W81" s="98"/>
      <c r="X81" s="98"/>
      <c r="Y81" s="190">
        <f t="shared" si="1"/>
        <v>253861.9</v>
      </c>
      <c r="Z81" s="191">
        <f t="shared" si="2"/>
        <v>655302.6</v>
      </c>
    </row>
    <row r="82" spans="12:26" ht="14.25" customHeight="1" x14ac:dyDescent="0.3">
      <c r="L82" s="136"/>
      <c r="M82" s="136"/>
      <c r="N82" s="136"/>
      <c r="O82" s="136"/>
      <c r="T82" s="93">
        <v>46258</v>
      </c>
      <c r="U82" s="94" t="s">
        <v>135</v>
      </c>
      <c r="V82" s="193">
        <v>-18000</v>
      </c>
      <c r="W82" s="98"/>
      <c r="X82" s="98"/>
      <c r="Y82" s="190"/>
      <c r="Z82" s="191"/>
    </row>
    <row r="83" spans="12:26" ht="14.25" customHeight="1" x14ac:dyDescent="0.3">
      <c r="L83" s="136"/>
      <c r="M83" s="136"/>
      <c r="N83" s="136"/>
      <c r="O83" s="136"/>
      <c r="T83" s="98">
        <v>46258</v>
      </c>
      <c r="U83" s="90" t="s">
        <v>498</v>
      </c>
      <c r="V83" s="146">
        <v>14885</v>
      </c>
      <c r="W83" s="197">
        <f>SUM(W67:W81)</f>
        <v>0</v>
      </c>
      <c r="X83" s="197"/>
      <c r="Y83" s="202"/>
      <c r="Z83" s="139"/>
    </row>
    <row r="84" spans="12:26" ht="14.25" customHeight="1" thickBot="1" x14ac:dyDescent="0.35">
      <c r="L84" s="136"/>
      <c r="M84" s="136"/>
      <c r="N84" s="136"/>
      <c r="O84" s="136"/>
      <c r="V84" s="176">
        <f>SUM(V66:V83)</f>
        <v>250746.9</v>
      </c>
      <c r="W84" s="98"/>
      <c r="X84" s="98"/>
      <c r="Y84" s="72"/>
      <c r="Z84" s="132"/>
    </row>
    <row r="85" spans="12:26" ht="14.25" customHeight="1" thickTop="1" x14ac:dyDescent="0.3">
      <c r="L85" s="136"/>
      <c r="M85" s="136"/>
      <c r="N85" s="136"/>
      <c r="O85" s="136"/>
      <c r="W85" s="98"/>
      <c r="X85" s="98"/>
      <c r="Y85" s="72"/>
      <c r="Z85" s="132"/>
    </row>
    <row r="86" spans="12:26" ht="14.25" customHeight="1" x14ac:dyDescent="0.3">
      <c r="L86" s="136"/>
      <c r="M86" s="136"/>
      <c r="N86" s="136"/>
      <c r="O86" s="136"/>
      <c r="W86" s="98"/>
      <c r="X86" s="98"/>
      <c r="Y86" s="72"/>
      <c r="Z86" s="146"/>
    </row>
    <row r="87" spans="12:26" ht="14.25" customHeight="1" x14ac:dyDescent="0.3">
      <c r="L87" s="136"/>
      <c r="M87" s="136"/>
      <c r="N87" s="136"/>
      <c r="O87" s="136"/>
      <c r="W87" s="98"/>
      <c r="X87" s="98"/>
      <c r="Z87" s="139"/>
    </row>
    <row r="88" spans="12:26" ht="14.25" customHeight="1" x14ac:dyDescent="0.3">
      <c r="L88" s="136"/>
      <c r="M88" s="136"/>
      <c r="N88" s="136"/>
      <c r="O88" s="136"/>
      <c r="W88" s="98"/>
      <c r="X88" s="98"/>
      <c r="Z88" s="139"/>
    </row>
    <row r="89" spans="12:26" ht="14.25" customHeight="1" x14ac:dyDescent="0.3">
      <c r="L89" s="136"/>
      <c r="M89" s="136"/>
      <c r="N89" s="136"/>
      <c r="O89" s="136"/>
      <c r="W89" s="98"/>
      <c r="X89" s="98"/>
      <c r="Y89" s="72"/>
      <c r="Z89" s="147"/>
    </row>
    <row r="90" spans="12:26" ht="14.25" customHeight="1" x14ac:dyDescent="0.3">
      <c r="L90" s="136"/>
      <c r="M90" s="136"/>
      <c r="N90" s="136"/>
      <c r="O90" s="136"/>
      <c r="W90" s="98"/>
      <c r="X90" s="98"/>
      <c r="Y90" s="72"/>
      <c r="Z90" s="147"/>
    </row>
    <row r="91" spans="12:26" ht="14.25" customHeight="1" x14ac:dyDescent="0.3">
      <c r="L91" s="136"/>
      <c r="M91" s="136"/>
      <c r="N91" s="136"/>
      <c r="O91" s="136"/>
      <c r="W91" s="98"/>
      <c r="X91" s="98"/>
      <c r="Z91" s="139"/>
    </row>
    <row r="92" spans="12:26" ht="14.25" customHeight="1" x14ac:dyDescent="0.3">
      <c r="L92" s="136"/>
      <c r="M92" s="136"/>
      <c r="N92" s="136"/>
      <c r="O92" s="136"/>
      <c r="W92" s="98"/>
      <c r="X92" s="98"/>
      <c r="Y92" s="72"/>
      <c r="Z92" s="147"/>
    </row>
    <row r="93" spans="12:26" ht="14.25" customHeight="1" x14ac:dyDescent="0.3">
      <c r="L93" s="136"/>
      <c r="M93" s="136"/>
      <c r="N93" s="136"/>
      <c r="O93" s="136"/>
      <c r="W93" s="98"/>
      <c r="X93" s="98"/>
      <c r="Y93" s="72"/>
      <c r="Z93" s="147"/>
    </row>
    <row r="94" spans="12:26" ht="14.25" customHeight="1" x14ac:dyDescent="0.3">
      <c r="L94" s="136"/>
      <c r="M94" s="136"/>
      <c r="N94" s="136"/>
      <c r="O94" s="136"/>
      <c r="W94" s="98"/>
      <c r="X94" s="98"/>
      <c r="Y94" s="72"/>
      <c r="Z94" s="138"/>
    </row>
    <row r="95" spans="12:26" ht="14.25" customHeight="1" x14ac:dyDescent="0.3">
      <c r="L95" s="136"/>
      <c r="M95" s="136"/>
      <c r="N95" s="136"/>
      <c r="O95" s="136"/>
      <c r="W95" s="98"/>
      <c r="X95" s="98"/>
      <c r="Y95" s="72"/>
      <c r="Z95" s="139"/>
    </row>
    <row r="96" spans="12:26" ht="14.25" customHeight="1" x14ac:dyDescent="0.3">
      <c r="L96" s="136"/>
      <c r="M96" s="136"/>
      <c r="N96" s="136"/>
      <c r="O96" s="136"/>
      <c r="W96" s="98"/>
      <c r="X96" s="98"/>
      <c r="Y96" s="72"/>
      <c r="Z96" s="132"/>
    </row>
    <row r="97" spans="12:26" ht="14.25" customHeight="1" x14ac:dyDescent="0.3">
      <c r="L97" s="136"/>
      <c r="M97" s="136"/>
      <c r="N97" s="136"/>
      <c r="O97" s="136"/>
      <c r="W97" s="98"/>
      <c r="X97" s="98"/>
      <c r="Y97" s="72"/>
      <c r="Z97" s="132"/>
    </row>
    <row r="98" spans="12:26" ht="14.25" customHeight="1" x14ac:dyDescent="0.3">
      <c r="L98" s="136"/>
      <c r="M98" s="136"/>
      <c r="N98" s="136"/>
      <c r="O98" s="136"/>
      <c r="Z98" s="132"/>
    </row>
    <row r="99" spans="12:26" ht="14.25" customHeight="1" x14ac:dyDescent="0.3">
      <c r="L99" s="136"/>
      <c r="M99" s="136"/>
      <c r="N99" s="136"/>
      <c r="O99" s="136"/>
      <c r="W99" s="98"/>
      <c r="X99" s="98"/>
      <c r="Z99" s="135"/>
    </row>
    <row r="100" spans="12:26" ht="14.25" customHeight="1" x14ac:dyDescent="0.3">
      <c r="L100" s="136"/>
      <c r="M100" s="136"/>
      <c r="N100" s="136"/>
      <c r="O100" s="136"/>
      <c r="W100" s="98"/>
      <c r="X100" s="98"/>
      <c r="Y100" s="72"/>
      <c r="Z100" s="139"/>
    </row>
    <row r="101" spans="12:26" ht="14.25" customHeight="1" x14ac:dyDescent="0.3">
      <c r="L101" s="136"/>
      <c r="M101" s="136"/>
      <c r="N101" s="136"/>
      <c r="O101" s="136"/>
      <c r="W101" s="98"/>
      <c r="X101" s="98"/>
      <c r="Y101" s="72"/>
      <c r="Z101" s="138"/>
    </row>
    <row r="102" spans="12:26" ht="14.25" customHeight="1" x14ac:dyDescent="0.3">
      <c r="L102" s="136"/>
      <c r="M102" s="136"/>
      <c r="N102" s="136"/>
      <c r="O102" s="136"/>
      <c r="W102" s="98"/>
      <c r="X102" s="98"/>
      <c r="Y102" s="72"/>
      <c r="Z102" s="138"/>
    </row>
    <row r="103" spans="12:26" ht="14.25" customHeight="1" x14ac:dyDescent="0.3">
      <c r="L103" s="136"/>
      <c r="M103" s="136"/>
      <c r="N103" s="136"/>
      <c r="O103" s="136"/>
      <c r="W103" s="98"/>
      <c r="X103" s="98"/>
      <c r="Y103" s="72"/>
      <c r="Z103" s="138"/>
    </row>
    <row r="104" spans="12:26" ht="14.25" customHeight="1" x14ac:dyDescent="0.3">
      <c r="L104" s="136"/>
      <c r="M104" s="136"/>
      <c r="N104" s="136"/>
      <c r="O104" s="136"/>
      <c r="W104" s="98"/>
      <c r="X104" s="98"/>
      <c r="Y104" s="72"/>
      <c r="Z104" s="138"/>
    </row>
    <row r="105" spans="12:26" ht="14.25" customHeight="1" x14ac:dyDescent="0.3">
      <c r="L105" s="136"/>
      <c r="M105" s="136"/>
      <c r="N105" s="136"/>
      <c r="O105" s="136"/>
      <c r="W105" s="98"/>
      <c r="X105" s="98"/>
      <c r="Y105" s="72"/>
      <c r="Z105" s="138"/>
    </row>
    <row r="106" spans="12:26" ht="14.25" customHeight="1" x14ac:dyDescent="0.3">
      <c r="L106" s="136"/>
      <c r="M106" s="136"/>
      <c r="N106" s="136"/>
      <c r="O106" s="136"/>
      <c r="W106" s="98"/>
      <c r="X106" s="98"/>
      <c r="Z106" s="135"/>
    </row>
    <row r="107" spans="12:26" ht="14.25" customHeight="1" x14ac:dyDescent="0.3">
      <c r="L107" s="136"/>
      <c r="M107" s="136"/>
      <c r="N107" s="136"/>
      <c r="O107" s="136"/>
      <c r="W107" s="98"/>
      <c r="X107" s="98"/>
      <c r="Y107" s="72"/>
      <c r="Z107" s="138"/>
    </row>
    <row r="108" spans="12:26" ht="14.25" customHeight="1" x14ac:dyDescent="0.3">
      <c r="L108" s="136"/>
      <c r="M108" s="136"/>
      <c r="N108" s="136"/>
      <c r="O108" s="136"/>
      <c r="W108" s="98"/>
      <c r="X108" s="98"/>
      <c r="Y108" s="72"/>
      <c r="Z108" s="138"/>
    </row>
    <row r="109" spans="12:26" ht="14.25" customHeight="1" x14ac:dyDescent="0.3">
      <c r="L109" s="136"/>
      <c r="M109" s="136"/>
      <c r="N109" s="136"/>
      <c r="O109" s="136"/>
      <c r="W109" s="98"/>
      <c r="X109" s="98"/>
      <c r="Y109" s="72"/>
      <c r="Z109" s="138"/>
    </row>
    <row r="110" spans="12:26" ht="14.25" customHeight="1" x14ac:dyDescent="0.3">
      <c r="L110" s="136"/>
      <c r="M110" s="136"/>
      <c r="N110" s="136"/>
      <c r="O110" s="136"/>
      <c r="W110" s="98"/>
      <c r="X110" s="98"/>
      <c r="Z110" s="139"/>
    </row>
    <row r="111" spans="12:26" ht="14.25" customHeight="1" x14ac:dyDescent="0.3">
      <c r="L111" s="136"/>
      <c r="M111" s="136"/>
      <c r="N111" s="136"/>
      <c r="O111" s="136"/>
      <c r="W111" s="98"/>
      <c r="X111" s="98"/>
      <c r="Z111" s="139"/>
    </row>
    <row r="112" spans="12:26" ht="14.25" customHeight="1" x14ac:dyDescent="0.3">
      <c r="L112" s="136"/>
      <c r="M112" s="136"/>
      <c r="N112" s="136"/>
      <c r="O112" s="136"/>
      <c r="W112" s="98"/>
      <c r="X112" s="98"/>
      <c r="Y112" s="72"/>
      <c r="Z112" s="138"/>
    </row>
    <row r="113" spans="12:26" ht="14.25" customHeight="1" x14ac:dyDescent="0.3">
      <c r="L113" s="136"/>
      <c r="M113" s="136"/>
      <c r="N113" s="136"/>
      <c r="O113" s="136"/>
      <c r="W113" s="98"/>
      <c r="X113" s="98"/>
      <c r="Y113" s="72"/>
      <c r="Z113" s="138"/>
    </row>
    <row r="114" spans="12:26" ht="14.25" customHeight="1" x14ac:dyDescent="0.3">
      <c r="L114" s="136"/>
      <c r="M114" s="136"/>
      <c r="N114" s="136"/>
      <c r="O114" s="136"/>
      <c r="W114" s="98"/>
      <c r="X114" s="98"/>
      <c r="Z114" s="139"/>
    </row>
    <row r="115" spans="12:26" ht="14.25" customHeight="1" x14ac:dyDescent="0.3">
      <c r="L115" s="136"/>
      <c r="M115" s="136"/>
      <c r="N115" s="136"/>
      <c r="O115" s="136"/>
      <c r="W115" s="98"/>
      <c r="X115" s="98"/>
      <c r="Y115" s="72"/>
      <c r="Z115" s="100"/>
    </row>
    <row r="116" spans="12:26" ht="14.25" customHeight="1" x14ac:dyDescent="0.3">
      <c r="L116" s="136"/>
      <c r="M116" s="136"/>
      <c r="N116" s="136"/>
      <c r="O116" s="136"/>
      <c r="W116" s="98"/>
      <c r="X116" s="98"/>
      <c r="Y116" s="72"/>
      <c r="Z116" s="132"/>
    </row>
    <row r="117" spans="12:26" ht="14.25" customHeight="1" x14ac:dyDescent="0.3">
      <c r="L117" s="136"/>
      <c r="M117" s="136"/>
      <c r="N117" s="136"/>
      <c r="O117" s="136"/>
      <c r="W117" s="98"/>
      <c r="X117" s="98"/>
      <c r="Y117" s="72"/>
      <c r="Z117" s="132"/>
    </row>
    <row r="118" spans="12:26" ht="14.25" customHeight="1" x14ac:dyDescent="0.3">
      <c r="L118" s="136"/>
      <c r="M118" s="136"/>
      <c r="N118" s="136"/>
      <c r="O118" s="136"/>
      <c r="Z118" s="138"/>
    </row>
    <row r="119" spans="12:26" ht="14.25" customHeight="1" x14ac:dyDescent="0.3">
      <c r="L119" s="136"/>
      <c r="M119" s="136"/>
      <c r="N119" s="136"/>
      <c r="O119" s="136"/>
    </row>
    <row r="120" spans="12:26" ht="14.25" customHeight="1" x14ac:dyDescent="0.3">
      <c r="L120" s="136"/>
      <c r="M120" s="136"/>
      <c r="N120" s="136"/>
      <c r="O120" s="136"/>
    </row>
    <row r="121" spans="12:26" ht="14.25" customHeight="1" x14ac:dyDescent="0.3">
      <c r="L121" s="136"/>
      <c r="M121" s="136"/>
      <c r="N121" s="136"/>
      <c r="O121" s="136"/>
    </row>
    <row r="122" spans="12:26" ht="14.25" customHeight="1" x14ac:dyDescent="0.3">
      <c r="L122" s="136"/>
      <c r="M122" s="136"/>
      <c r="N122" s="136"/>
      <c r="O122" s="136"/>
    </row>
    <row r="123" spans="12:26" ht="14.25" customHeight="1" x14ac:dyDescent="0.3">
      <c r="L123" s="136"/>
      <c r="M123" s="136"/>
      <c r="N123" s="136"/>
      <c r="O123" s="136"/>
    </row>
    <row r="124" spans="12:26" ht="14.25" customHeight="1" x14ac:dyDescent="0.3">
      <c r="L124" s="136"/>
      <c r="M124" s="136"/>
      <c r="N124" s="136"/>
      <c r="O124" s="136"/>
    </row>
    <row r="125" spans="12:26" ht="14.25" customHeight="1" x14ac:dyDescent="0.3">
      <c r="L125" s="136"/>
      <c r="M125" s="136"/>
      <c r="N125" s="136"/>
      <c r="O125" s="136"/>
    </row>
    <row r="126" spans="12:26" ht="14.25" customHeight="1" x14ac:dyDescent="0.3">
      <c r="L126" s="136"/>
      <c r="M126" s="136"/>
      <c r="N126" s="136"/>
      <c r="O126" s="136"/>
    </row>
    <row r="127" spans="12:26" ht="14.25" customHeight="1" x14ac:dyDescent="0.3">
      <c r="L127" s="136"/>
      <c r="M127" s="136"/>
      <c r="N127" s="136"/>
      <c r="O127" s="136"/>
    </row>
    <row r="128" spans="12:26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honeticPr fontId="21" type="noConversion"/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49C9-1E44-4327-9F33-75465EC4DAAC}">
  <sheetPr codeName="Sheet53"/>
  <dimension ref="A1:AF1000"/>
  <sheetViews>
    <sheetView topLeftCell="A23" workbookViewId="0">
      <selection activeCell="S43" sqref="S43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" style="1" customWidth="1"/>
    <col min="18" max="18" width="7.33203125" style="1" customWidth="1"/>
    <col min="19" max="19" width="7.1640625" style="1" customWidth="1"/>
    <col min="20" max="20" width="7.33203125" style="1" customWidth="1"/>
    <col min="21" max="21" width="5.5" style="1" customWidth="1"/>
    <col min="22" max="23" width="5.1640625" style="1" bestFit="1" customWidth="1"/>
    <col min="24" max="24" width="5.1640625" style="12" bestFit="1" customWidth="1"/>
    <col min="25" max="26" width="5.1640625" style="1" bestFit="1" customWidth="1"/>
    <col min="27" max="27" width="4.4140625" style="1" bestFit="1" customWidth="1"/>
    <col min="28" max="28" width="5.1640625" style="1" bestFit="1" customWidth="1"/>
    <col min="29" max="29" width="6.08203125" style="1" bestFit="1" customWidth="1"/>
    <col min="30" max="31" width="5.1640625" style="1" bestFit="1" customWidth="1"/>
    <col min="32" max="32" width="7.75" style="1" customWidth="1"/>
    <col min="33" max="1039" width="12.83203125" style="1" customWidth="1"/>
    <col min="1040" max="1040" width="8.6640625" style="1" customWidth="1"/>
    <col min="1041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15" t="s">
        <v>5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7" t="s">
        <v>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499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12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500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22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32" ht="14.25" customHeight="1" x14ac:dyDescent="0.35">
      <c r="A17" s="6"/>
      <c r="B17" s="6"/>
      <c r="C17" s="7" t="s">
        <v>24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501</v>
      </c>
      <c r="O17" s="6"/>
      <c r="AF17" s="6"/>
    </row>
    <row r="18" spans="1:32" ht="14.25" customHeight="1" x14ac:dyDescent="0.35">
      <c r="A18" s="6" t="s">
        <v>27</v>
      </c>
      <c r="B18" s="6" t="s">
        <v>7</v>
      </c>
      <c r="C18" s="7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2" ht="14.25" customHeight="1" x14ac:dyDescent="0.35">
      <c r="A19" s="6" t="s">
        <v>29</v>
      </c>
      <c r="B19" s="6" t="s">
        <v>7</v>
      </c>
      <c r="C19" s="7" t="s">
        <v>30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2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2" ht="14.25" customHeight="1" x14ac:dyDescent="0.35">
      <c r="A21" s="13" t="s">
        <v>31</v>
      </c>
      <c r="B21" s="216" t="s">
        <v>32</v>
      </c>
      <c r="C21" s="216"/>
      <c r="D21" s="216"/>
      <c r="E21" s="216"/>
      <c r="F21" s="216"/>
      <c r="G21" s="216"/>
      <c r="H21" s="216"/>
      <c r="I21" s="217" t="s">
        <v>33</v>
      </c>
      <c r="J21" s="217"/>
      <c r="K21" s="14"/>
      <c r="L21" s="15" t="s">
        <v>34</v>
      </c>
      <c r="M21" s="16"/>
      <c r="N21" s="217" t="s">
        <v>35</v>
      </c>
      <c r="O21" s="217"/>
      <c r="Q21" s="17" t="s">
        <v>403</v>
      </c>
      <c r="R21" s="17" t="s">
        <v>36</v>
      </c>
      <c r="S21" s="17" t="s">
        <v>37</v>
      </c>
      <c r="T21" s="17" t="s">
        <v>38</v>
      </c>
      <c r="U21" s="17" t="s">
        <v>39</v>
      </c>
      <c r="V21" s="1">
        <v>1125</v>
      </c>
      <c r="W21" s="1">
        <v>1025</v>
      </c>
      <c r="X21" s="17" t="s">
        <v>40</v>
      </c>
      <c r="Z21" s="17" t="s">
        <v>41</v>
      </c>
      <c r="AA21" s="17" t="s">
        <v>42</v>
      </c>
      <c r="AB21" s="17" t="s">
        <v>43</v>
      </c>
      <c r="AC21" s="17"/>
      <c r="AD21" s="18" t="s">
        <v>44</v>
      </c>
      <c r="AE21" s="18" t="s">
        <v>45</v>
      </c>
    </row>
    <row r="22" spans="1:32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32" ht="14.25" customHeight="1" x14ac:dyDescent="0.35">
      <c r="A23" s="22">
        <v>1</v>
      </c>
      <c r="B23" s="20"/>
      <c r="C23" s="23" t="s">
        <v>126</v>
      </c>
      <c r="D23" s="6"/>
      <c r="E23" s="6"/>
      <c r="F23" s="6"/>
      <c r="G23" s="6"/>
      <c r="H23" s="6"/>
      <c r="I23" s="24">
        <v>10</v>
      </c>
      <c r="J23" s="25" t="s">
        <v>47</v>
      </c>
      <c r="K23" s="6"/>
      <c r="L23" s="26">
        <v>1710</v>
      </c>
      <c r="M23" s="27"/>
      <c r="N23" s="26"/>
      <c r="O23" s="27">
        <f>SUM(I23*L23)</f>
        <v>17100</v>
      </c>
      <c r="R23" s="28">
        <v>7.6</v>
      </c>
      <c r="S23" s="29">
        <v>8.1</v>
      </c>
      <c r="T23" s="29">
        <v>7.6</v>
      </c>
      <c r="U23" s="29">
        <v>6.6</v>
      </c>
      <c r="V23" s="29">
        <v>6.8</v>
      </c>
      <c r="W23" s="29">
        <v>6.9</v>
      </c>
      <c r="X23" s="28">
        <v>7</v>
      </c>
      <c r="Y23" s="29">
        <v>6.9</v>
      </c>
      <c r="Z23" s="29">
        <v>7.2</v>
      </c>
      <c r="AB23" s="29">
        <v>7.3</v>
      </c>
      <c r="AC23" s="29"/>
      <c r="AE23" s="29">
        <v>7.4</v>
      </c>
      <c r="AF23" s="29">
        <v>7.3</v>
      </c>
    </row>
    <row r="24" spans="1:32" ht="14.25" customHeight="1" x14ac:dyDescent="0.35">
      <c r="A24" s="22">
        <v>2</v>
      </c>
      <c r="B24" s="20"/>
      <c r="C24" s="6" t="s">
        <v>48</v>
      </c>
      <c r="D24" s="6"/>
      <c r="E24" s="6"/>
      <c r="F24" s="6"/>
      <c r="G24" s="6"/>
      <c r="H24" s="6"/>
      <c r="I24" s="20">
        <v>15</v>
      </c>
      <c r="J24" s="21" t="s">
        <v>49</v>
      </c>
      <c r="K24" s="6"/>
      <c r="L24" s="26">
        <v>214.6</v>
      </c>
      <c r="M24" s="27"/>
      <c r="N24" s="26"/>
      <c r="O24" s="27">
        <f t="shared" ref="O24:O30" si="0">SUM(I24*L24)</f>
        <v>3219</v>
      </c>
      <c r="AB24" s="29">
        <v>5.8</v>
      </c>
      <c r="AC24" s="29"/>
      <c r="AD24" s="29">
        <v>6</v>
      </c>
      <c r="AE24" s="29"/>
      <c r="AF24" s="29">
        <v>5.8</v>
      </c>
    </row>
    <row r="25" spans="1:32" ht="14.25" customHeight="1" x14ac:dyDescent="0.35">
      <c r="A25" s="22">
        <v>3</v>
      </c>
      <c r="B25" s="20"/>
      <c r="C25" s="6" t="s">
        <v>52</v>
      </c>
      <c r="D25" s="6"/>
      <c r="E25" s="6"/>
      <c r="F25" s="6"/>
      <c r="G25" s="6"/>
      <c r="H25" s="6"/>
      <c r="I25" s="20">
        <v>8</v>
      </c>
      <c r="J25" s="21" t="s">
        <v>53</v>
      </c>
      <c r="K25" s="6"/>
      <c r="L25" s="26">
        <v>115</v>
      </c>
      <c r="M25" s="27"/>
      <c r="N25" s="26"/>
      <c r="O25" s="27">
        <f t="shared" si="0"/>
        <v>920</v>
      </c>
      <c r="AE25" s="29"/>
      <c r="AF25" s="29">
        <v>2.2999999999999998</v>
      </c>
    </row>
    <row r="26" spans="1:32" ht="14.25" customHeight="1" x14ac:dyDescent="0.35">
      <c r="A26" s="22">
        <v>4</v>
      </c>
      <c r="B26" s="20"/>
      <c r="C26" s="30" t="s">
        <v>54</v>
      </c>
      <c r="D26" s="6"/>
      <c r="E26" s="6"/>
      <c r="F26" s="6"/>
      <c r="G26" s="6"/>
      <c r="H26" s="6"/>
      <c r="I26" s="20">
        <v>1</v>
      </c>
      <c r="J26" s="21" t="s">
        <v>55</v>
      </c>
      <c r="K26" s="6"/>
      <c r="L26" s="26">
        <v>435</v>
      </c>
      <c r="M26" s="27"/>
      <c r="N26" s="26"/>
      <c r="O26" s="27">
        <f t="shared" si="0"/>
        <v>435</v>
      </c>
      <c r="AE26" s="29"/>
    </row>
    <row r="27" spans="1:32" ht="14.25" customHeight="1" x14ac:dyDescent="0.35">
      <c r="A27" s="22">
        <v>5</v>
      </c>
      <c r="B27" s="20"/>
      <c r="C27" s="10" t="s">
        <v>502</v>
      </c>
      <c r="D27" s="6"/>
      <c r="E27" s="6"/>
      <c r="F27" s="6"/>
      <c r="G27" s="6"/>
      <c r="H27" s="6"/>
      <c r="I27" s="20">
        <v>1</v>
      </c>
      <c r="J27" s="21" t="s">
        <v>51</v>
      </c>
      <c r="K27" s="6"/>
      <c r="L27" s="31">
        <v>420</v>
      </c>
      <c r="M27" s="27"/>
      <c r="N27" s="26"/>
      <c r="O27" s="27">
        <f t="shared" si="0"/>
        <v>420</v>
      </c>
      <c r="AC27" s="29">
        <v>11.9</v>
      </c>
      <c r="AE27" s="29"/>
    </row>
    <row r="28" spans="1:32" ht="14.25" customHeight="1" x14ac:dyDescent="0.35">
      <c r="A28" s="22">
        <v>6</v>
      </c>
      <c r="B28" s="20"/>
      <c r="C28" s="30" t="s">
        <v>50</v>
      </c>
      <c r="D28" s="6"/>
      <c r="E28" s="6"/>
      <c r="F28" s="6"/>
      <c r="G28" s="6"/>
      <c r="H28" s="6"/>
      <c r="I28" s="20">
        <v>20</v>
      </c>
      <c r="J28" s="21" t="s">
        <v>51</v>
      </c>
      <c r="K28" s="6"/>
      <c r="L28" s="26">
        <v>57.5</v>
      </c>
      <c r="M28" s="27"/>
      <c r="N28" s="26"/>
      <c r="O28" s="27">
        <f t="shared" si="0"/>
        <v>1150</v>
      </c>
    </row>
    <row r="29" spans="1:32" ht="14.25" customHeight="1" x14ac:dyDescent="0.35">
      <c r="A29" s="32">
        <v>7</v>
      </c>
      <c r="B29" s="20"/>
      <c r="C29" s="33" t="s">
        <v>467</v>
      </c>
      <c r="D29" s="6"/>
      <c r="E29" s="6"/>
      <c r="F29" s="6"/>
      <c r="G29" s="6"/>
      <c r="H29" s="6"/>
      <c r="I29" s="20">
        <v>8</v>
      </c>
      <c r="J29" s="21" t="s">
        <v>57</v>
      </c>
      <c r="K29" s="6"/>
      <c r="L29" s="34">
        <v>57.6</v>
      </c>
      <c r="M29" s="27"/>
      <c r="N29" s="26"/>
      <c r="O29" s="27">
        <f t="shared" si="0"/>
        <v>460.8</v>
      </c>
    </row>
    <row r="30" spans="1:32" ht="14.25" customHeight="1" x14ac:dyDescent="0.35">
      <c r="A30" s="22">
        <v>8</v>
      </c>
      <c r="B30" s="20"/>
      <c r="C30" s="6" t="s">
        <v>81</v>
      </c>
      <c r="D30" s="6"/>
      <c r="E30" s="6"/>
      <c r="F30" s="6"/>
      <c r="G30" s="6"/>
      <c r="H30" s="6"/>
      <c r="I30" s="20">
        <v>1</v>
      </c>
      <c r="J30" s="21" t="s">
        <v>55</v>
      </c>
      <c r="K30" s="6"/>
      <c r="L30" s="26">
        <v>283.8</v>
      </c>
      <c r="M30" s="27"/>
      <c r="N30" s="26"/>
      <c r="O30" s="27">
        <f t="shared" si="0"/>
        <v>283.8</v>
      </c>
      <c r="Q30" s="29">
        <v>12.9</v>
      </c>
      <c r="R30" s="29"/>
    </row>
    <row r="31" spans="1:32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32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23988.6</v>
      </c>
    </row>
    <row r="55" spans="1:15" ht="14.25" customHeight="1" x14ac:dyDescent="0.35">
      <c r="A55" s="6" t="s">
        <v>503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AA70-85FB-463B-A0C2-53C167F49EA9}">
  <sheetPr codeName="Sheet54"/>
  <dimension ref="A1:AD1000"/>
  <sheetViews>
    <sheetView showWhiteSpace="0" topLeftCell="A10" zoomScaleNormal="100" workbookViewId="0">
      <selection activeCell="Q26" sqref="Q26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10.1640625" customWidth="1"/>
    <col min="19" max="19" width="9.58203125" customWidth="1"/>
    <col min="20" max="20" width="10.5" bestFit="1" customWidth="1"/>
    <col min="21" max="22" width="7.1640625" customWidth="1"/>
    <col min="23" max="23" width="7.5" customWidth="1"/>
    <col min="24" max="24" width="7.58203125" customWidth="1"/>
    <col min="25" max="28" width="7.1640625" bestFit="1" customWidth="1"/>
    <col min="29" max="30" width="6.08203125" bestFit="1" customWidth="1"/>
    <col min="31" max="31" width="5.75" customWidth="1"/>
    <col min="32" max="32" width="7.25" customWidth="1"/>
    <col min="33" max="33" width="6.33203125" customWidth="1"/>
    <col min="34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175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512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177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527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179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180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181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513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183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184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0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36</v>
      </c>
      <c r="R22" s="151" t="s">
        <v>37</v>
      </c>
      <c r="S22" s="151" t="s">
        <v>38</v>
      </c>
      <c r="T22" s="151" t="s">
        <v>101</v>
      </c>
      <c r="U22" s="151" t="s">
        <v>185</v>
      </c>
      <c r="V22" s="151" t="s">
        <v>115</v>
      </c>
      <c r="W22" s="148" t="s">
        <v>122</v>
      </c>
      <c r="X22" s="148" t="s">
        <v>186</v>
      </c>
      <c r="Y22" s="148" t="s">
        <v>187</v>
      </c>
      <c r="Z22" s="148" t="s">
        <v>188</v>
      </c>
      <c r="AA22" s="148" t="s">
        <v>189</v>
      </c>
      <c r="AD22" s="152"/>
    </row>
    <row r="23" spans="1:30" s="148" customFormat="1" ht="14.25" customHeight="1" x14ac:dyDescent="0.35">
      <c r="A23" s="76">
        <v>1</v>
      </c>
      <c r="B23" s="54"/>
      <c r="C23" s="51" t="s">
        <v>46</v>
      </c>
      <c r="D23" s="6"/>
      <c r="E23" s="6"/>
      <c r="F23" s="6"/>
      <c r="G23" s="6"/>
      <c r="H23" s="6"/>
      <c r="I23" s="153">
        <v>1</v>
      </c>
      <c r="J23" s="154" t="s">
        <v>47</v>
      </c>
      <c r="K23" s="10"/>
      <c r="L23" s="56">
        <v>1845</v>
      </c>
      <c r="M23" s="78"/>
      <c r="N23" s="56"/>
      <c r="O23" s="78">
        <f>SUM(I23*L23)</f>
        <v>1845</v>
      </c>
      <c r="Q23" s="155">
        <v>8.1999999999999993</v>
      </c>
      <c r="R23" s="155"/>
      <c r="S23" s="155">
        <v>8.5</v>
      </c>
      <c r="T23" s="155" t="s">
        <v>191</v>
      </c>
      <c r="U23" s="155">
        <v>7.5</v>
      </c>
      <c r="V23" s="155"/>
      <c r="X23" s="152">
        <v>7.7</v>
      </c>
      <c r="Y23" s="155">
        <v>7.6</v>
      </c>
      <c r="Z23" s="155">
        <v>7.5</v>
      </c>
      <c r="AA23" s="155">
        <v>7.4</v>
      </c>
      <c r="AB23" s="155"/>
      <c r="AC23" s="155"/>
      <c r="AD23" s="152"/>
    </row>
    <row r="24" spans="1:30" s="148" customFormat="1" ht="14.25" customHeight="1" x14ac:dyDescent="0.35">
      <c r="A24" s="76">
        <v>2</v>
      </c>
      <c r="B24" s="54"/>
      <c r="C24" s="10" t="s">
        <v>192</v>
      </c>
      <c r="D24" s="6"/>
      <c r="E24" s="6"/>
      <c r="F24" s="6"/>
      <c r="G24" s="6"/>
      <c r="H24" s="6"/>
      <c r="I24" s="153">
        <v>3</v>
      </c>
      <c r="J24" s="154" t="s">
        <v>49</v>
      </c>
      <c r="K24" s="10"/>
      <c r="L24" s="56">
        <v>225</v>
      </c>
      <c r="M24" s="78"/>
      <c r="N24" s="56"/>
      <c r="O24" s="78">
        <f t="shared" ref="O24:O25" si="0">SUM(I24*L24)</f>
        <v>675</v>
      </c>
      <c r="R24" s="155">
        <v>7.5</v>
      </c>
      <c r="W24" s="155">
        <v>7.2</v>
      </c>
      <c r="X24" s="152">
        <v>7</v>
      </c>
      <c r="Y24" s="155"/>
      <c r="Z24" s="155">
        <v>7</v>
      </c>
      <c r="AA24" s="155">
        <v>7</v>
      </c>
      <c r="AB24" s="155"/>
      <c r="AC24" s="155"/>
    </row>
    <row r="25" spans="1:30" s="148" customFormat="1" ht="14.25" customHeight="1" x14ac:dyDescent="0.35">
      <c r="A25" s="76">
        <v>3</v>
      </c>
      <c r="B25" s="54"/>
      <c r="C25" s="156" t="s">
        <v>82</v>
      </c>
      <c r="D25" s="6"/>
      <c r="E25" s="6"/>
      <c r="F25" s="6"/>
      <c r="G25" s="6"/>
      <c r="H25" s="6"/>
      <c r="I25" s="20">
        <v>1</v>
      </c>
      <c r="J25" s="55" t="s">
        <v>51</v>
      </c>
      <c r="K25" s="10"/>
      <c r="L25" s="56">
        <v>62.5</v>
      </c>
      <c r="M25" s="78"/>
      <c r="N25" s="56"/>
      <c r="O25" s="78">
        <f t="shared" si="0"/>
        <v>62.5</v>
      </c>
      <c r="V25" s="155">
        <v>6.8</v>
      </c>
      <c r="X25" s="155">
        <v>7</v>
      </c>
      <c r="Y25" s="155"/>
      <c r="Z25" s="155"/>
      <c r="AA25" s="155"/>
      <c r="AB25" s="155"/>
      <c r="AC25" s="155"/>
    </row>
    <row r="26" spans="1:30" s="148" customFormat="1" ht="14.25" customHeight="1" x14ac:dyDescent="0.35">
      <c r="A26" s="76"/>
      <c r="B26" s="54"/>
      <c r="C26" s="10"/>
      <c r="D26" s="6"/>
      <c r="E26" s="6"/>
      <c r="F26" s="6"/>
      <c r="G26" s="6"/>
      <c r="H26" s="6"/>
      <c r="I26" s="153"/>
      <c r="J26" s="55"/>
      <c r="K26" s="10"/>
      <c r="L26" s="56"/>
      <c r="M26" s="78"/>
      <c r="N26" s="56"/>
      <c r="O26" s="78"/>
      <c r="AA26" s="155"/>
      <c r="AB26" s="155"/>
      <c r="AC26" s="155"/>
    </row>
    <row r="27" spans="1:30" s="148" customFormat="1" ht="14.25" customHeight="1" x14ac:dyDescent="0.35">
      <c r="A27" s="76"/>
      <c r="B27" s="54"/>
      <c r="C27" s="157"/>
      <c r="D27" s="6"/>
      <c r="E27" s="6"/>
      <c r="F27" s="6"/>
      <c r="G27" s="6"/>
      <c r="H27" s="6"/>
      <c r="I27" s="153"/>
      <c r="J27" s="154"/>
      <c r="K27" s="10"/>
      <c r="L27" s="56"/>
      <c r="M27" s="78"/>
      <c r="N27" s="56"/>
      <c r="O27" s="78"/>
      <c r="X27" s="155"/>
      <c r="Z27" s="155"/>
      <c r="AA27" s="155"/>
      <c r="AB27" s="155"/>
      <c r="AC27" s="155"/>
    </row>
    <row r="28" spans="1:30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Z28" s="155"/>
      <c r="AA28" s="155"/>
      <c r="AB28" s="155"/>
    </row>
    <row r="29" spans="1:30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Z29" s="155"/>
      <c r="AA29" s="155"/>
    </row>
    <row r="30" spans="1:30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B30" s="155"/>
    </row>
    <row r="31" spans="1:30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0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2582.5</v>
      </c>
    </row>
    <row r="55" spans="1:15" s="148" customFormat="1" ht="14.25" customHeight="1" x14ac:dyDescent="0.35">
      <c r="A55" s="10" t="s">
        <v>526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BED5-1584-4051-B794-B250BDD81E98}">
  <sheetPr codeName="Sheet55"/>
  <dimension ref="A1:AD1000"/>
  <sheetViews>
    <sheetView topLeftCell="A11" workbookViewId="0">
      <selection activeCell="Q33" sqref="Q3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5" customWidth="1"/>
    <col min="18" max="18" width="8.25" customWidth="1"/>
    <col min="19" max="19" width="9.6640625" customWidth="1"/>
    <col min="20" max="20" width="8.08203125" customWidth="1"/>
    <col min="21" max="21" width="6.9140625" customWidth="1"/>
    <col min="22" max="22" width="7" customWidth="1"/>
    <col min="23" max="23" width="7.33203125" customWidth="1"/>
    <col min="24" max="24" width="8.33203125" customWidth="1"/>
    <col min="25" max="25" width="6.33203125" customWidth="1"/>
    <col min="26" max="26" width="7.9140625" customWidth="1"/>
    <col min="27" max="27" width="6.75" customWidth="1"/>
    <col min="28" max="28" width="7.75" customWidth="1"/>
    <col min="29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515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511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516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87" t="s">
        <v>403</v>
      </c>
      <c r="R22" s="72" t="s">
        <v>36</v>
      </c>
      <c r="S22" s="72" t="s">
        <v>163</v>
      </c>
      <c r="T22" s="72" t="s">
        <v>38</v>
      </c>
      <c r="U22" s="72" t="s">
        <v>101</v>
      </c>
      <c r="V22" s="72" t="s">
        <v>164</v>
      </c>
      <c r="W22" s="72" t="s">
        <v>117</v>
      </c>
      <c r="X22" s="72" t="s">
        <v>40</v>
      </c>
      <c r="Y22" s="72" t="s">
        <v>165</v>
      </c>
      <c r="AA22" t="s">
        <v>45</v>
      </c>
      <c r="AB22" t="s">
        <v>166</v>
      </c>
    </row>
    <row r="23" spans="1:30" ht="14.25" customHeight="1" x14ac:dyDescent="0.35">
      <c r="A23" s="76">
        <v>1</v>
      </c>
      <c r="B23" s="54"/>
      <c r="C23" s="30" t="s">
        <v>517</v>
      </c>
      <c r="D23" s="10"/>
      <c r="E23" s="10"/>
      <c r="F23" s="10"/>
      <c r="G23" s="10"/>
      <c r="H23" s="10"/>
      <c r="I23" s="54">
        <v>1</v>
      </c>
      <c r="J23" s="55" t="s">
        <v>55</v>
      </c>
      <c r="K23" s="10"/>
      <c r="L23" s="56">
        <v>375</v>
      </c>
      <c r="M23" s="78"/>
      <c r="N23" s="56"/>
      <c r="O23" s="78">
        <f>SUM(I23*L23)</f>
        <v>375</v>
      </c>
      <c r="Q23" s="79">
        <v>7.7</v>
      </c>
      <c r="R23" s="79">
        <v>8.1</v>
      </c>
      <c r="S23" s="79">
        <v>8.5</v>
      </c>
      <c r="T23" s="79">
        <v>8.5</v>
      </c>
      <c r="U23" s="79">
        <v>8.1</v>
      </c>
      <c r="V23" s="79">
        <v>7.5</v>
      </c>
      <c r="W23" s="79">
        <v>7.5</v>
      </c>
      <c r="X23" s="79">
        <v>7.6</v>
      </c>
      <c r="Z23" s="79">
        <v>7.9</v>
      </c>
      <c r="AA23" s="79">
        <v>8</v>
      </c>
      <c r="AB23" s="79">
        <v>7.9</v>
      </c>
      <c r="AC23" s="79">
        <v>8.3000000000000007</v>
      </c>
      <c r="AD23" s="79">
        <v>8.5</v>
      </c>
    </row>
    <row r="24" spans="1:30" ht="14.25" customHeight="1" x14ac:dyDescent="0.35">
      <c r="A24" s="76">
        <v>2</v>
      </c>
      <c r="B24" s="54"/>
      <c r="C24" s="30" t="s">
        <v>524</v>
      </c>
      <c r="D24" s="10"/>
      <c r="E24" s="10"/>
      <c r="F24" s="10"/>
      <c r="G24" s="10"/>
      <c r="H24" s="10"/>
      <c r="I24" s="54">
        <v>1</v>
      </c>
      <c r="J24" s="55" t="s">
        <v>521</v>
      </c>
      <c r="K24" s="10"/>
      <c r="L24" s="56">
        <v>150</v>
      </c>
      <c r="M24" s="78"/>
      <c r="N24" s="56"/>
      <c r="O24" s="78">
        <f t="shared" ref="O24:O26" si="0">SUM(I24*L24)</f>
        <v>150</v>
      </c>
      <c r="Q24" s="79">
        <v>6.9</v>
      </c>
      <c r="S24" s="79">
        <v>7.5</v>
      </c>
      <c r="T24" s="79"/>
      <c r="X24" s="79">
        <v>7.3</v>
      </c>
      <c r="AB24" s="79"/>
    </row>
    <row r="25" spans="1:30" ht="14.25" customHeight="1" x14ac:dyDescent="0.35">
      <c r="A25" s="76">
        <v>3</v>
      </c>
      <c r="B25" s="54"/>
      <c r="C25" s="30" t="s">
        <v>525</v>
      </c>
      <c r="D25" s="6"/>
      <c r="E25" s="6"/>
      <c r="F25" s="6"/>
      <c r="G25" s="6"/>
      <c r="H25" s="6"/>
      <c r="I25" s="20">
        <v>1</v>
      </c>
      <c r="J25" s="55" t="s">
        <v>521</v>
      </c>
      <c r="K25" s="10"/>
      <c r="L25" s="56">
        <v>126</v>
      </c>
      <c r="M25" s="78"/>
      <c r="N25" s="56"/>
      <c r="O25" s="78">
        <f t="shared" si="0"/>
        <v>126</v>
      </c>
      <c r="Q25" s="79">
        <v>5.5</v>
      </c>
      <c r="R25" s="79">
        <v>5.8</v>
      </c>
      <c r="T25" s="79"/>
      <c r="V25" s="79"/>
      <c r="X25" s="79"/>
      <c r="Y25" s="79"/>
      <c r="AB25" s="79"/>
    </row>
    <row r="26" spans="1:30" ht="14.25" customHeight="1" x14ac:dyDescent="0.35">
      <c r="A26" s="76">
        <v>4</v>
      </c>
      <c r="B26" s="54"/>
      <c r="C26" s="6" t="s">
        <v>244</v>
      </c>
      <c r="D26" s="10"/>
      <c r="E26" s="10"/>
      <c r="F26" s="10"/>
      <c r="G26" s="10"/>
      <c r="H26" s="10"/>
      <c r="I26" s="54">
        <v>1</v>
      </c>
      <c r="J26" s="55" t="s">
        <v>49</v>
      </c>
      <c r="K26" s="10"/>
      <c r="L26" s="56">
        <v>405</v>
      </c>
      <c r="M26" s="78"/>
      <c r="N26" s="56"/>
      <c r="O26" s="78">
        <f t="shared" si="0"/>
        <v>405</v>
      </c>
    </row>
    <row r="27" spans="1:30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R27" s="79">
        <v>13.5</v>
      </c>
      <c r="T27" s="79">
        <v>14</v>
      </c>
      <c r="V27" s="79"/>
      <c r="X27" s="79"/>
      <c r="Y27" s="79">
        <v>13</v>
      </c>
      <c r="AB27" s="79"/>
    </row>
    <row r="28" spans="1:30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T28" s="79"/>
      <c r="V28">
        <v>32</v>
      </c>
      <c r="AB28" s="79"/>
    </row>
    <row r="29" spans="1:30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T29" s="79"/>
      <c r="V29" s="79"/>
      <c r="AB29" s="79">
        <v>31</v>
      </c>
    </row>
    <row r="30" spans="1:30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Q30" t="s">
        <v>522</v>
      </c>
      <c r="Y30" s="79"/>
      <c r="Z30" s="79"/>
    </row>
    <row r="31" spans="1:30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1056</v>
      </c>
    </row>
    <row r="55" spans="1:15" ht="14.25" customHeight="1" x14ac:dyDescent="0.35">
      <c r="A55" s="10" t="s">
        <v>523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35C5-D0A1-4BAC-A0B3-77BA871BA2B1}">
  <sheetPr codeName="Sheet56"/>
  <dimension ref="A1:AJ1003"/>
  <sheetViews>
    <sheetView topLeftCell="A13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2" style="66" customWidth="1"/>
    <col min="24" max="24" width="1.75" style="66" customWidth="1"/>
    <col min="25" max="25" width="10.9140625" style="66" customWidth="1"/>
    <col min="26" max="26" width="11" customWidth="1"/>
    <col min="27" max="27" width="9.75" bestFit="1" customWidth="1"/>
    <col min="28" max="28" width="10.08203125" customWidth="1"/>
    <col min="29" max="29" width="11.33203125" customWidth="1"/>
    <col min="30" max="30" width="6.58203125" customWidth="1"/>
    <col min="31" max="1030" width="12.83203125" customWidth="1"/>
    <col min="1031" max="1031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518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511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6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519</v>
      </c>
      <c r="O17" s="10"/>
    </row>
    <row r="18" spans="1:36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6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6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6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6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72"/>
      <c r="Y22" s="66">
        <v>1225</v>
      </c>
      <c r="Z22" s="72" t="s">
        <v>116</v>
      </c>
      <c r="AA22" s="72" t="s">
        <v>117</v>
      </c>
      <c r="AB22" s="72" t="s">
        <v>118</v>
      </c>
      <c r="AC22" s="73" t="s">
        <v>119</v>
      </c>
      <c r="AD22" s="74" t="s">
        <v>120</v>
      </c>
      <c r="AE22" s="74" t="s">
        <v>121</v>
      </c>
      <c r="AF22" s="75" t="s">
        <v>122</v>
      </c>
      <c r="AG22" s="74" t="s">
        <v>123</v>
      </c>
      <c r="AH22" s="74" t="s">
        <v>124</v>
      </c>
      <c r="AI22" s="74" t="s">
        <v>125</v>
      </c>
      <c r="AJ22" s="74" t="s">
        <v>125</v>
      </c>
    </row>
    <row r="23" spans="1:36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/>
      <c r="Y23" s="79">
        <v>6.8</v>
      </c>
      <c r="Z23" s="79">
        <v>6.9</v>
      </c>
      <c r="AA23" s="79">
        <v>7</v>
      </c>
      <c r="AC23" s="79"/>
      <c r="AD23" s="66"/>
      <c r="AE23" s="80">
        <v>7.2</v>
      </c>
      <c r="AG23" s="79">
        <v>7.3</v>
      </c>
      <c r="AH23" s="79">
        <v>7.4</v>
      </c>
      <c r="AI23" s="79">
        <v>7.4</v>
      </c>
      <c r="AJ23" s="79">
        <v>7.4</v>
      </c>
    </row>
    <row r="24" spans="1:36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6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/>
      <c r="Z24" s="79"/>
      <c r="AA24" s="79">
        <v>5.9</v>
      </c>
      <c r="AB24" s="79">
        <v>5.9</v>
      </c>
      <c r="AC24" s="79"/>
      <c r="AD24" s="66"/>
      <c r="AE24" s="80"/>
      <c r="AF24" s="79">
        <v>5.8</v>
      </c>
      <c r="AH24" s="79">
        <v>5.9</v>
      </c>
      <c r="AI24" s="79">
        <v>6.1</v>
      </c>
    </row>
    <row r="25" spans="1:36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Y25"/>
      <c r="AA25" s="79">
        <v>5.0999999999999996</v>
      </c>
      <c r="AB25" s="79"/>
      <c r="AC25" s="79">
        <v>5.5</v>
      </c>
      <c r="AD25" s="66"/>
      <c r="AE25" s="66"/>
      <c r="AF25" s="79">
        <v>5.3</v>
      </c>
      <c r="AH25" s="79">
        <v>5.3</v>
      </c>
      <c r="AI25" s="81">
        <v>6</v>
      </c>
      <c r="AJ25" s="79">
        <v>6.1</v>
      </c>
    </row>
    <row r="26" spans="1:36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Y26"/>
      <c r="AA26" s="79"/>
      <c r="AC26" s="79"/>
      <c r="AD26" s="66"/>
      <c r="AE26" s="66"/>
      <c r="AJ26" s="81">
        <v>5.5</v>
      </c>
    </row>
    <row r="27" spans="1:36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6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B28" s="79"/>
      <c r="AC28" s="79"/>
      <c r="AD28" s="79"/>
    </row>
    <row r="29" spans="1:36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6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Z30" s="84"/>
      <c r="AA30" s="84"/>
      <c r="AB30" s="84"/>
    </row>
    <row r="31" spans="1:36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Z31" s="87"/>
      <c r="AA31" s="84"/>
      <c r="AB31" s="88"/>
    </row>
    <row r="32" spans="1:36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Z32" s="91"/>
      <c r="AA32" s="84"/>
      <c r="AB32" s="92"/>
    </row>
    <row r="33" spans="1:3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Z33" s="91"/>
      <c r="AA33" s="96"/>
      <c r="AB33" s="97"/>
    </row>
    <row r="34" spans="1:3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Z34" s="91"/>
      <c r="AA34" s="96"/>
      <c r="AB34" s="88"/>
      <c r="AE34" s="66"/>
    </row>
    <row r="35" spans="1:3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Z35" s="91"/>
      <c r="AA35" s="96"/>
      <c r="AB35" s="97"/>
    </row>
    <row r="36" spans="1:3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Z36" s="91"/>
      <c r="AA36" s="96"/>
      <c r="AB36" s="99"/>
    </row>
    <row r="37" spans="1:3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Z37" s="91"/>
      <c r="AA37" s="96"/>
      <c r="AB37" s="100"/>
    </row>
    <row r="38" spans="1:3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101"/>
      <c r="Y38" s="95"/>
      <c r="Z38" s="91"/>
      <c r="AA38" s="96"/>
      <c r="AB38" s="102"/>
    </row>
    <row r="39" spans="1:3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3"/>
      <c r="Y39" s="104"/>
      <c r="Z39" s="91"/>
      <c r="AA39" s="96"/>
      <c r="AB39" s="100"/>
    </row>
    <row r="40" spans="1:3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3"/>
      <c r="Y40" s="104"/>
      <c r="Z40" s="91"/>
      <c r="AA40" s="96"/>
      <c r="AB40" s="105"/>
    </row>
    <row r="41" spans="1:3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101"/>
      <c r="Y41" s="95"/>
      <c r="Z41" s="91"/>
      <c r="AA41" s="96"/>
      <c r="AB41" s="105"/>
    </row>
    <row r="42" spans="1:3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3"/>
      <c r="Y42" s="106"/>
      <c r="Z42" s="91"/>
      <c r="AA42" s="96"/>
      <c r="AB42" s="105"/>
    </row>
    <row r="43" spans="1:3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3"/>
      <c r="Y43" s="104"/>
      <c r="Z43" s="91"/>
      <c r="AA43" s="96"/>
      <c r="AB43" s="105"/>
    </row>
    <row r="44" spans="1:3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101"/>
      <c r="Y44" s="95"/>
      <c r="Z44" s="91"/>
      <c r="AA44" s="96"/>
      <c r="AB44" s="97"/>
    </row>
    <row r="45" spans="1:3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7"/>
      <c r="Y45" s="108"/>
      <c r="Z45" s="91"/>
      <c r="AA45" s="96"/>
      <c r="AB45" s="102"/>
    </row>
    <row r="46" spans="1:3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7"/>
      <c r="Y46" s="109"/>
      <c r="Z46" s="91"/>
      <c r="AA46" s="96"/>
      <c r="AB46" s="105"/>
    </row>
    <row r="47" spans="1:3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7"/>
      <c r="Y47" s="108"/>
      <c r="Z47" s="91"/>
      <c r="AA47" s="96"/>
      <c r="AB47" s="105"/>
    </row>
    <row r="48" spans="1:3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7"/>
      <c r="Y48" s="108"/>
      <c r="Z48" s="91"/>
      <c r="AA48" s="96"/>
      <c r="AB48" s="105"/>
    </row>
    <row r="49" spans="1:30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10"/>
      <c r="Y49" s="109"/>
      <c r="Z49" s="91"/>
      <c r="AA49" s="96"/>
      <c r="AB49" s="105"/>
    </row>
    <row r="50" spans="1:30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7"/>
      <c r="Y50" s="108"/>
      <c r="Z50" s="91"/>
      <c r="AA50" s="96"/>
      <c r="AB50" s="102"/>
    </row>
    <row r="51" spans="1:30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7"/>
      <c r="Y51" s="108"/>
      <c r="Z51" s="91"/>
      <c r="AA51" s="96"/>
      <c r="AB51" s="105"/>
    </row>
    <row r="52" spans="1:30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7"/>
      <c r="Y52" s="108"/>
      <c r="Z52" s="91"/>
      <c r="AA52" s="96"/>
      <c r="AB52" s="105"/>
    </row>
    <row r="53" spans="1:30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7"/>
      <c r="Y53" s="108"/>
      <c r="Z53" s="119"/>
      <c r="AA53" s="91"/>
      <c r="AB53" s="105"/>
    </row>
    <row r="54" spans="1:30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13885</v>
      </c>
      <c r="T54" s="98">
        <v>46213</v>
      </c>
      <c r="U54" s="90" t="s">
        <v>148</v>
      </c>
      <c r="V54" s="132">
        <v>16715</v>
      </c>
      <c r="W54" s="110"/>
      <c r="X54" s="110"/>
      <c r="Y54" s="109"/>
      <c r="Z54" s="119"/>
      <c r="AA54" s="91"/>
      <c r="AB54" s="126"/>
    </row>
    <row r="55" spans="1:30" ht="14.25" customHeight="1" x14ac:dyDescent="0.35">
      <c r="A55" s="10" t="s">
        <v>520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10"/>
      <c r="Y55" s="109"/>
      <c r="Z55" s="119"/>
      <c r="AA55" s="91"/>
      <c r="AB55" s="84"/>
    </row>
    <row r="56" spans="1:30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27"/>
      <c r="Y56" s="108"/>
      <c r="Z56" s="128"/>
    </row>
    <row r="57" spans="1:30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27"/>
      <c r="Y57" s="108"/>
      <c r="Z57" s="129"/>
    </row>
    <row r="58" spans="1:30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10"/>
      <c r="Y58" s="109"/>
      <c r="Z58" s="130"/>
    </row>
    <row r="59" spans="1:30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31"/>
      <c r="Y59" s="109"/>
      <c r="Z59" s="99"/>
    </row>
    <row r="60" spans="1:30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27"/>
      <c r="Y60" s="108"/>
      <c r="Z60" s="132"/>
      <c r="AD60" t="s">
        <v>151</v>
      </c>
    </row>
    <row r="61" spans="1:30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27"/>
      <c r="Y61" s="108"/>
      <c r="Z61" s="129"/>
    </row>
    <row r="62" spans="1:30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31"/>
      <c r="Y62" s="109"/>
      <c r="Z62" s="133"/>
    </row>
    <row r="63" spans="1:30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27"/>
      <c r="Y63" s="108"/>
      <c r="Z63" s="100"/>
    </row>
    <row r="64" spans="1:30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96">
        <v>14935</v>
      </c>
      <c r="W64" s="198"/>
      <c r="X64" s="198"/>
      <c r="Y64" s="189"/>
      <c r="Z64" s="129"/>
    </row>
    <row r="65" spans="1:29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29" ht="14.25" customHeight="1" x14ac:dyDescent="0.3">
      <c r="L66" s="136"/>
      <c r="M66" s="136"/>
      <c r="N66" s="136"/>
      <c r="O66" s="136"/>
      <c r="T66" s="85" t="s">
        <v>484</v>
      </c>
      <c r="V66" s="199">
        <f>SUM(V51:V64)</f>
        <v>218387.69999999998</v>
      </c>
      <c r="W66" s="86"/>
      <c r="X66" s="86"/>
      <c r="Y66" s="200">
        <v>218387.69999999998</v>
      </c>
      <c r="Z66" s="201">
        <v>619828.4</v>
      </c>
    </row>
    <row r="67" spans="1:29" ht="13" customHeight="1" x14ac:dyDescent="0.3">
      <c r="L67" s="136"/>
      <c r="M67" s="136"/>
      <c r="N67" s="136"/>
      <c r="O67" s="136"/>
      <c r="T67" s="98">
        <v>46235</v>
      </c>
      <c r="U67" s="90" t="s">
        <v>485</v>
      </c>
      <c r="V67" s="146">
        <v>14763.2</v>
      </c>
      <c r="W67" s="127"/>
      <c r="X67" s="127"/>
      <c r="Y67" s="190">
        <f>SUM(Y66+V67)</f>
        <v>233150.9</v>
      </c>
      <c r="Z67" s="191">
        <f>SUM(Z66+V67)</f>
        <v>634591.6</v>
      </c>
    </row>
    <row r="68" spans="1:29" ht="14.25" customHeight="1" x14ac:dyDescent="0.3">
      <c r="L68" s="136"/>
      <c r="M68" s="136"/>
      <c r="N68" s="136"/>
      <c r="O68" s="136"/>
      <c r="T68" s="93">
        <v>46238</v>
      </c>
      <c r="U68" s="94" t="s">
        <v>135</v>
      </c>
      <c r="V68" s="192">
        <v>-17000</v>
      </c>
      <c r="W68" s="192"/>
      <c r="X68" s="192"/>
      <c r="Y68" s="190">
        <f t="shared" ref="Y68:Y81" si="1">SUM(Y67+V68)</f>
        <v>216150.9</v>
      </c>
      <c r="Z68" s="191">
        <f t="shared" ref="Z68:Z81" si="2">SUM(Z67+V68)</f>
        <v>617591.6</v>
      </c>
    </row>
    <row r="69" spans="1:29" ht="14.25" customHeight="1" x14ac:dyDescent="0.3">
      <c r="L69" s="136"/>
      <c r="M69" s="136"/>
      <c r="N69" s="136"/>
      <c r="O69" s="136"/>
      <c r="T69" s="91">
        <v>46239</v>
      </c>
      <c r="U69" s="90" t="s">
        <v>486</v>
      </c>
      <c r="V69" s="146">
        <v>16036</v>
      </c>
      <c r="W69" s="131"/>
      <c r="X69" s="131"/>
      <c r="Y69" s="190">
        <f t="shared" si="1"/>
        <v>232186.9</v>
      </c>
      <c r="Z69" s="191">
        <f t="shared" si="2"/>
        <v>633627.6</v>
      </c>
    </row>
    <row r="70" spans="1:29" ht="14.25" customHeight="1" x14ac:dyDescent="0.3">
      <c r="L70" s="136"/>
      <c r="M70" s="136"/>
      <c r="N70" s="136"/>
      <c r="O70" s="136"/>
      <c r="T70" s="93">
        <v>46241</v>
      </c>
      <c r="U70" s="94" t="s">
        <v>135</v>
      </c>
      <c r="V70" s="193">
        <v>-15000</v>
      </c>
      <c r="W70" s="194"/>
      <c r="X70" s="194"/>
      <c r="Y70" s="190">
        <f t="shared" si="1"/>
        <v>217186.9</v>
      </c>
      <c r="Z70" s="191">
        <f t="shared" si="2"/>
        <v>618627.6</v>
      </c>
    </row>
    <row r="71" spans="1:29" ht="14.25" customHeight="1" x14ac:dyDescent="0.3">
      <c r="L71" s="136"/>
      <c r="M71" s="136"/>
      <c r="N71" s="136"/>
      <c r="O71" s="136"/>
      <c r="T71" s="98">
        <v>46242</v>
      </c>
      <c r="U71" s="90" t="s">
        <v>487</v>
      </c>
      <c r="V71" s="195">
        <v>11837</v>
      </c>
      <c r="W71" s="127"/>
      <c r="X71" s="127"/>
      <c r="Y71" s="190">
        <f t="shared" si="1"/>
        <v>229023.9</v>
      </c>
      <c r="Z71" s="191">
        <f t="shared" si="2"/>
        <v>630464.6</v>
      </c>
    </row>
    <row r="72" spans="1:29" ht="14.25" customHeight="1" x14ac:dyDescent="0.3">
      <c r="L72" s="136"/>
      <c r="M72" s="136"/>
      <c r="N72" s="136"/>
      <c r="O72" s="136"/>
      <c r="T72" s="93">
        <v>46244</v>
      </c>
      <c r="U72" s="94" t="s">
        <v>135</v>
      </c>
      <c r="V72" s="193">
        <v>-10000</v>
      </c>
      <c r="W72" s="193"/>
      <c r="X72" s="193"/>
      <c r="Y72" s="190">
        <f t="shared" si="1"/>
        <v>219023.9</v>
      </c>
      <c r="Z72" s="191">
        <f t="shared" si="2"/>
        <v>620464.6</v>
      </c>
    </row>
    <row r="73" spans="1:29" ht="14.25" customHeight="1" x14ac:dyDescent="0.3">
      <c r="L73" s="136"/>
      <c r="M73" s="136"/>
      <c r="N73" s="136"/>
      <c r="O73" s="136"/>
      <c r="T73" s="98">
        <v>46245</v>
      </c>
      <c r="U73" s="90" t="s">
        <v>488</v>
      </c>
      <c r="V73" s="195">
        <v>8781</v>
      </c>
      <c r="W73" s="127"/>
      <c r="X73" s="127"/>
      <c r="Y73" s="190">
        <f t="shared" si="1"/>
        <v>227804.9</v>
      </c>
      <c r="Z73" s="191">
        <f t="shared" si="2"/>
        <v>629245.6</v>
      </c>
      <c r="AC73" s="79"/>
    </row>
    <row r="74" spans="1:29" ht="14.25" customHeight="1" x14ac:dyDescent="0.3">
      <c r="L74" s="136"/>
      <c r="M74" s="136"/>
      <c r="N74" s="136"/>
      <c r="O74" s="136"/>
      <c r="T74" s="93">
        <v>46246</v>
      </c>
      <c r="U74" s="94" t="s">
        <v>135</v>
      </c>
      <c r="V74" s="193">
        <v>-10000</v>
      </c>
      <c r="W74" s="193"/>
      <c r="X74" s="193"/>
      <c r="Y74" s="190">
        <f t="shared" si="1"/>
        <v>217804.9</v>
      </c>
      <c r="Z74" s="191">
        <f t="shared" si="2"/>
        <v>619245.6</v>
      </c>
      <c r="AC74" s="79"/>
    </row>
    <row r="75" spans="1:29" ht="14.25" customHeight="1" x14ac:dyDescent="0.3">
      <c r="L75" s="136"/>
      <c r="M75" s="136"/>
      <c r="N75" s="136"/>
      <c r="O75" s="136"/>
      <c r="T75" s="98">
        <v>46246</v>
      </c>
      <c r="U75" s="90" t="s">
        <v>489</v>
      </c>
      <c r="V75" s="195">
        <v>8781</v>
      </c>
      <c r="W75" s="93"/>
      <c r="X75" s="93"/>
      <c r="Y75" s="190">
        <f t="shared" si="1"/>
        <v>226585.9</v>
      </c>
      <c r="Z75" s="191">
        <f t="shared" si="2"/>
        <v>628026.6</v>
      </c>
    </row>
    <row r="76" spans="1:29" ht="14.25" customHeight="1" x14ac:dyDescent="0.3">
      <c r="L76" s="136"/>
      <c r="M76" s="136"/>
      <c r="N76" s="136"/>
      <c r="O76" s="136"/>
      <c r="T76" s="93">
        <v>46247</v>
      </c>
      <c r="U76" s="94" t="s">
        <v>135</v>
      </c>
      <c r="V76" s="193">
        <v>-15000</v>
      </c>
      <c r="W76" s="193"/>
      <c r="X76" s="193"/>
      <c r="Y76" s="190">
        <f t="shared" si="1"/>
        <v>211585.9</v>
      </c>
      <c r="Z76" s="191">
        <f t="shared" si="2"/>
        <v>613026.6</v>
      </c>
    </row>
    <row r="77" spans="1:29" ht="14.25" customHeight="1" x14ac:dyDescent="0.3">
      <c r="L77" s="136"/>
      <c r="M77" s="136"/>
      <c r="N77" s="136"/>
      <c r="O77" s="136"/>
      <c r="T77" s="98">
        <v>46247</v>
      </c>
      <c r="U77" s="90" t="s">
        <v>490</v>
      </c>
      <c r="V77" s="195">
        <v>13276</v>
      </c>
      <c r="W77" s="103"/>
      <c r="X77" s="103"/>
      <c r="Y77" s="190">
        <f t="shared" si="1"/>
        <v>224861.9</v>
      </c>
      <c r="Z77" s="191">
        <f t="shared" si="2"/>
        <v>626302.6</v>
      </c>
    </row>
    <row r="78" spans="1:29" ht="14.25" customHeight="1" x14ac:dyDescent="0.3">
      <c r="L78" s="136"/>
      <c r="M78" s="136"/>
      <c r="N78" s="136"/>
      <c r="O78" s="136"/>
      <c r="T78" s="98">
        <v>46248</v>
      </c>
      <c r="U78" s="90" t="s">
        <v>491</v>
      </c>
      <c r="V78" s="195">
        <v>14889</v>
      </c>
      <c r="W78" s="98"/>
      <c r="X78" s="98"/>
      <c r="Y78" s="190">
        <f t="shared" si="1"/>
        <v>239750.9</v>
      </c>
      <c r="Z78" s="191">
        <f t="shared" si="2"/>
        <v>641191.6</v>
      </c>
    </row>
    <row r="79" spans="1:29" ht="14.25" customHeight="1" x14ac:dyDescent="0.3">
      <c r="L79" s="136"/>
      <c r="M79" s="136"/>
      <c r="N79" s="136"/>
      <c r="O79" s="136"/>
      <c r="T79" s="98">
        <v>46252</v>
      </c>
      <c r="U79" s="90" t="s">
        <v>492</v>
      </c>
      <c r="V79" s="195">
        <v>14226</v>
      </c>
      <c r="W79" s="98"/>
      <c r="X79" s="98"/>
      <c r="Y79" s="190">
        <f t="shared" si="1"/>
        <v>253976.9</v>
      </c>
      <c r="Z79" s="191">
        <f t="shared" si="2"/>
        <v>655417.59999999998</v>
      </c>
    </row>
    <row r="80" spans="1:29" ht="14.25" customHeight="1" x14ac:dyDescent="0.3">
      <c r="L80" s="136"/>
      <c r="M80" s="136"/>
      <c r="N80" s="136"/>
      <c r="O80" s="136"/>
      <c r="T80" s="93">
        <v>46252</v>
      </c>
      <c r="U80" s="94" t="s">
        <v>135</v>
      </c>
      <c r="V80" s="193">
        <v>-15000</v>
      </c>
      <c r="W80" s="193"/>
      <c r="X80" s="193"/>
      <c r="Y80" s="190">
        <f t="shared" si="1"/>
        <v>238976.9</v>
      </c>
      <c r="Z80" s="191">
        <f t="shared" si="2"/>
        <v>640417.6</v>
      </c>
    </row>
    <row r="81" spans="12:26" ht="14.25" customHeight="1" x14ac:dyDescent="0.3">
      <c r="L81" s="136"/>
      <c r="M81" s="136"/>
      <c r="N81" s="136"/>
      <c r="O81" s="136"/>
      <c r="T81" s="98">
        <v>46255</v>
      </c>
      <c r="U81" s="90" t="s">
        <v>493</v>
      </c>
      <c r="V81" s="146">
        <v>14885</v>
      </c>
      <c r="W81" s="98"/>
      <c r="X81" s="98"/>
      <c r="Y81" s="190">
        <f t="shared" si="1"/>
        <v>253861.9</v>
      </c>
      <c r="Z81" s="191">
        <f t="shared" si="2"/>
        <v>655302.6</v>
      </c>
    </row>
    <row r="82" spans="12:26" ht="14.25" customHeight="1" x14ac:dyDescent="0.3">
      <c r="L82" s="136"/>
      <c r="M82" s="136"/>
      <c r="N82" s="136"/>
      <c r="O82" s="136"/>
      <c r="T82" s="93">
        <v>46258</v>
      </c>
      <c r="U82" s="94" t="s">
        <v>135</v>
      </c>
      <c r="V82" s="193">
        <v>-18000</v>
      </c>
      <c r="W82" s="98"/>
      <c r="X82" s="98"/>
      <c r="Y82" s="190"/>
      <c r="Z82" s="191"/>
    </row>
    <row r="83" spans="12:26" ht="14.25" customHeight="1" x14ac:dyDescent="0.3">
      <c r="L83" s="136"/>
      <c r="M83" s="136"/>
      <c r="N83" s="136"/>
      <c r="O83" s="136"/>
      <c r="T83" s="98">
        <v>46258</v>
      </c>
      <c r="U83" s="90" t="s">
        <v>498</v>
      </c>
      <c r="V83" s="146">
        <v>14885</v>
      </c>
      <c r="W83" s="197">
        <f>SUM(W67:W81)</f>
        <v>0</v>
      </c>
      <c r="X83" s="197"/>
      <c r="Y83" s="202"/>
      <c r="Z83" s="139"/>
    </row>
    <row r="84" spans="12:26" ht="14.25" customHeight="1" x14ac:dyDescent="0.3">
      <c r="L84" s="136"/>
      <c r="M84" s="136"/>
      <c r="N84" s="136"/>
      <c r="O84" s="136"/>
      <c r="T84" s="93">
        <v>46260</v>
      </c>
      <c r="U84" s="94" t="s">
        <v>135</v>
      </c>
      <c r="V84" s="193">
        <v>-15000</v>
      </c>
      <c r="W84" s="98"/>
      <c r="X84" s="98"/>
      <c r="Y84" s="72"/>
      <c r="Z84" s="132"/>
    </row>
    <row r="85" spans="12:26" ht="14.25" customHeight="1" x14ac:dyDescent="0.3">
      <c r="L85" s="136"/>
      <c r="M85" s="136"/>
      <c r="N85" s="136"/>
      <c r="O85" s="136"/>
      <c r="T85" s="98">
        <v>46261</v>
      </c>
      <c r="U85" s="90" t="s">
        <v>533</v>
      </c>
      <c r="V85" s="146">
        <v>13885</v>
      </c>
      <c r="W85" s="98"/>
      <c r="X85" s="98"/>
      <c r="Y85" s="72"/>
      <c r="Z85" s="132"/>
    </row>
    <row r="86" spans="12:26" ht="14.25" customHeight="1" thickBot="1" x14ac:dyDescent="0.35">
      <c r="L86" s="136"/>
      <c r="M86" s="136"/>
      <c r="N86" s="136"/>
      <c r="O86" s="136"/>
      <c r="V86" s="176">
        <f>SUM(V66:V85)</f>
        <v>249631.9</v>
      </c>
      <c r="W86" s="98"/>
      <c r="X86" s="98"/>
      <c r="Y86" s="72"/>
      <c r="Z86" s="146"/>
    </row>
    <row r="87" spans="12:26" ht="14.25" customHeight="1" thickTop="1" x14ac:dyDescent="0.3">
      <c r="L87" s="136"/>
      <c r="M87" s="136"/>
      <c r="N87" s="136"/>
      <c r="O87" s="136"/>
      <c r="W87" s="98"/>
      <c r="X87" s="98"/>
      <c r="Z87" s="139"/>
    </row>
    <row r="88" spans="12:26" ht="14.25" customHeight="1" x14ac:dyDescent="0.3">
      <c r="L88" s="136"/>
      <c r="M88" s="136"/>
      <c r="N88" s="136"/>
      <c r="O88" s="136"/>
      <c r="W88" s="98"/>
      <c r="X88" s="98"/>
      <c r="Z88" s="139"/>
    </row>
    <row r="89" spans="12:26" ht="14.25" customHeight="1" x14ac:dyDescent="0.3">
      <c r="L89" s="136"/>
      <c r="M89" s="136"/>
      <c r="N89" s="136"/>
      <c r="O89" s="136"/>
      <c r="W89" s="98"/>
      <c r="X89" s="98"/>
      <c r="Y89" s="72"/>
      <c r="Z89" s="147"/>
    </row>
    <row r="90" spans="12:26" ht="14.25" customHeight="1" x14ac:dyDescent="0.3">
      <c r="L90" s="136"/>
      <c r="M90" s="136"/>
      <c r="N90" s="136"/>
      <c r="O90" s="136"/>
      <c r="W90" s="98"/>
      <c r="X90" s="98"/>
      <c r="Y90" s="72"/>
      <c r="Z90" s="147"/>
    </row>
    <row r="91" spans="12:26" ht="14.25" customHeight="1" x14ac:dyDescent="0.3">
      <c r="L91" s="136"/>
      <c r="M91" s="136"/>
      <c r="N91" s="136"/>
      <c r="O91" s="136"/>
      <c r="W91" s="98"/>
      <c r="X91" s="98"/>
      <c r="Z91" s="139"/>
    </row>
    <row r="92" spans="12:26" ht="14.25" customHeight="1" x14ac:dyDescent="0.3">
      <c r="L92" s="136"/>
      <c r="M92" s="136"/>
      <c r="N92" s="136"/>
      <c r="O92" s="136"/>
      <c r="W92" s="98"/>
      <c r="X92" s="98"/>
      <c r="Y92" s="72"/>
      <c r="Z92" s="147"/>
    </row>
    <row r="93" spans="12:26" ht="14.25" customHeight="1" x14ac:dyDescent="0.3">
      <c r="L93" s="136"/>
      <c r="M93" s="136"/>
      <c r="N93" s="136"/>
      <c r="O93" s="136"/>
      <c r="W93" s="98"/>
      <c r="X93" s="98"/>
      <c r="Y93" s="72"/>
      <c r="Z93" s="147"/>
    </row>
    <row r="94" spans="12:26" ht="14.25" customHeight="1" x14ac:dyDescent="0.3">
      <c r="L94" s="136"/>
      <c r="M94" s="136"/>
      <c r="N94" s="136"/>
      <c r="O94" s="136"/>
      <c r="W94" s="98"/>
      <c r="X94" s="98"/>
      <c r="Y94" s="72"/>
      <c r="Z94" s="138"/>
    </row>
    <row r="95" spans="12:26" ht="14.25" customHeight="1" x14ac:dyDescent="0.3">
      <c r="L95" s="136"/>
      <c r="M95" s="136"/>
      <c r="N95" s="136"/>
      <c r="O95" s="136"/>
      <c r="W95" s="98"/>
      <c r="X95" s="98"/>
      <c r="Y95" s="72"/>
      <c r="Z95" s="139"/>
    </row>
    <row r="96" spans="12:26" ht="14.25" customHeight="1" x14ac:dyDescent="0.3">
      <c r="L96" s="136"/>
      <c r="M96" s="136"/>
      <c r="N96" s="136"/>
      <c r="O96" s="136"/>
      <c r="W96" s="98"/>
      <c r="X96" s="98"/>
      <c r="Y96" s="72"/>
      <c r="Z96" s="132"/>
    </row>
    <row r="97" spans="12:26" ht="14.25" customHeight="1" x14ac:dyDescent="0.3">
      <c r="L97" s="136"/>
      <c r="M97" s="136"/>
      <c r="N97" s="136"/>
      <c r="O97" s="136"/>
      <c r="W97" s="98"/>
      <c r="X97" s="98"/>
      <c r="Y97" s="72"/>
      <c r="Z97" s="132"/>
    </row>
    <row r="98" spans="12:26" ht="14.25" customHeight="1" x14ac:dyDescent="0.3">
      <c r="L98" s="136"/>
      <c r="M98" s="136"/>
      <c r="N98" s="136"/>
      <c r="O98" s="136"/>
      <c r="Z98" s="132"/>
    </row>
    <row r="99" spans="12:26" ht="14.25" customHeight="1" x14ac:dyDescent="0.3">
      <c r="L99" s="136"/>
      <c r="M99" s="136"/>
      <c r="N99" s="136"/>
      <c r="O99" s="136"/>
      <c r="W99" s="98"/>
      <c r="X99" s="98"/>
      <c r="Z99" s="135"/>
    </row>
    <row r="100" spans="12:26" ht="14.25" customHeight="1" x14ac:dyDescent="0.3">
      <c r="L100" s="136"/>
      <c r="M100" s="136"/>
      <c r="N100" s="136"/>
      <c r="O100" s="136"/>
      <c r="W100" s="98"/>
      <c r="X100" s="98"/>
      <c r="Y100" s="72"/>
      <c r="Z100" s="139"/>
    </row>
    <row r="101" spans="12:26" ht="14.25" customHeight="1" x14ac:dyDescent="0.3">
      <c r="L101" s="136"/>
      <c r="M101" s="136"/>
      <c r="N101" s="136"/>
      <c r="O101" s="136"/>
      <c r="W101" s="98"/>
      <c r="X101" s="98"/>
      <c r="Y101" s="72"/>
      <c r="Z101" s="138"/>
    </row>
    <row r="102" spans="12:26" ht="14.25" customHeight="1" x14ac:dyDescent="0.3">
      <c r="L102" s="136"/>
      <c r="M102" s="136"/>
      <c r="N102" s="136"/>
      <c r="O102" s="136"/>
      <c r="W102" s="98"/>
      <c r="X102" s="98"/>
      <c r="Y102" s="72"/>
      <c r="Z102" s="138"/>
    </row>
    <row r="103" spans="12:26" ht="14.25" customHeight="1" x14ac:dyDescent="0.3">
      <c r="L103" s="136"/>
      <c r="M103" s="136"/>
      <c r="N103" s="136"/>
      <c r="O103" s="136"/>
      <c r="W103" s="98"/>
      <c r="X103" s="98"/>
      <c r="Y103" s="72"/>
      <c r="Z103" s="138"/>
    </row>
    <row r="104" spans="12:26" ht="14.25" customHeight="1" x14ac:dyDescent="0.3">
      <c r="L104" s="136"/>
      <c r="M104" s="136"/>
      <c r="N104" s="136"/>
      <c r="O104" s="136"/>
      <c r="W104" s="98"/>
      <c r="X104" s="98"/>
      <c r="Y104" s="72"/>
      <c r="Z104" s="138"/>
    </row>
    <row r="105" spans="12:26" ht="14.25" customHeight="1" x14ac:dyDescent="0.3">
      <c r="L105" s="136"/>
      <c r="M105" s="136"/>
      <c r="N105" s="136"/>
      <c r="O105" s="136"/>
      <c r="W105" s="98"/>
      <c r="X105" s="98"/>
      <c r="Y105" s="72"/>
      <c r="Z105" s="138"/>
    </row>
    <row r="106" spans="12:26" ht="14.25" customHeight="1" x14ac:dyDescent="0.3">
      <c r="L106" s="136"/>
      <c r="M106" s="136"/>
      <c r="N106" s="136"/>
      <c r="O106" s="136"/>
      <c r="W106" s="98"/>
      <c r="X106" s="98"/>
      <c r="Z106" s="135"/>
    </row>
    <row r="107" spans="12:26" ht="14.25" customHeight="1" x14ac:dyDescent="0.3">
      <c r="L107" s="136"/>
      <c r="M107" s="136"/>
      <c r="N107" s="136"/>
      <c r="O107" s="136"/>
      <c r="W107" s="98"/>
      <c r="X107" s="98"/>
      <c r="Y107" s="72"/>
      <c r="Z107" s="138"/>
    </row>
    <row r="108" spans="12:26" ht="14.25" customHeight="1" x14ac:dyDescent="0.3">
      <c r="L108" s="136"/>
      <c r="M108" s="136"/>
      <c r="N108" s="136"/>
      <c r="O108" s="136"/>
      <c r="W108" s="98"/>
      <c r="X108" s="98"/>
      <c r="Y108" s="72"/>
      <c r="Z108" s="138"/>
    </row>
    <row r="109" spans="12:26" ht="14.25" customHeight="1" x14ac:dyDescent="0.3">
      <c r="L109" s="136"/>
      <c r="M109" s="136"/>
      <c r="N109" s="136"/>
      <c r="O109" s="136"/>
      <c r="W109" s="98"/>
      <c r="X109" s="98"/>
      <c r="Y109" s="72"/>
      <c r="Z109" s="138"/>
    </row>
    <row r="110" spans="12:26" ht="14.25" customHeight="1" x14ac:dyDescent="0.3">
      <c r="L110" s="136"/>
      <c r="M110" s="136"/>
      <c r="N110" s="136"/>
      <c r="O110" s="136"/>
      <c r="W110" s="98"/>
      <c r="X110" s="98"/>
      <c r="Z110" s="139"/>
    </row>
    <row r="111" spans="12:26" ht="14.25" customHeight="1" x14ac:dyDescent="0.3">
      <c r="L111" s="136"/>
      <c r="M111" s="136"/>
      <c r="N111" s="136"/>
      <c r="O111" s="136"/>
      <c r="W111" s="98"/>
      <c r="X111" s="98"/>
      <c r="Z111" s="139"/>
    </row>
    <row r="112" spans="12:26" ht="14.25" customHeight="1" x14ac:dyDescent="0.3">
      <c r="L112" s="136"/>
      <c r="M112" s="136"/>
      <c r="N112" s="136"/>
      <c r="O112" s="136"/>
      <c r="W112" s="98"/>
      <c r="X112" s="98"/>
      <c r="Y112" s="72"/>
      <c r="Z112" s="138"/>
    </row>
    <row r="113" spans="12:26" ht="14.25" customHeight="1" x14ac:dyDescent="0.3">
      <c r="L113" s="136"/>
      <c r="M113" s="136"/>
      <c r="N113" s="136"/>
      <c r="O113" s="136"/>
      <c r="W113" s="98"/>
      <c r="X113" s="98"/>
      <c r="Y113" s="72"/>
      <c r="Z113" s="138"/>
    </row>
    <row r="114" spans="12:26" ht="14.25" customHeight="1" x14ac:dyDescent="0.3">
      <c r="L114" s="136"/>
      <c r="M114" s="136"/>
      <c r="N114" s="136"/>
      <c r="O114" s="136"/>
      <c r="W114" s="98"/>
      <c r="X114" s="98"/>
      <c r="Z114" s="139"/>
    </row>
    <row r="115" spans="12:26" ht="14.25" customHeight="1" x14ac:dyDescent="0.3">
      <c r="L115" s="136"/>
      <c r="M115" s="136"/>
      <c r="N115" s="136"/>
      <c r="O115" s="136"/>
      <c r="W115" s="98"/>
      <c r="X115" s="98"/>
      <c r="Y115" s="72"/>
      <c r="Z115" s="100"/>
    </row>
    <row r="116" spans="12:26" ht="14.25" customHeight="1" x14ac:dyDescent="0.3">
      <c r="L116" s="136"/>
      <c r="M116" s="136"/>
      <c r="N116" s="136"/>
      <c r="O116" s="136"/>
      <c r="W116" s="98"/>
      <c r="X116" s="98"/>
      <c r="Y116" s="72"/>
      <c r="Z116" s="132"/>
    </row>
    <row r="117" spans="12:26" ht="14.25" customHeight="1" x14ac:dyDescent="0.3">
      <c r="L117" s="136"/>
      <c r="M117" s="136"/>
      <c r="N117" s="136"/>
      <c r="O117" s="136"/>
      <c r="W117" s="98"/>
      <c r="X117" s="98"/>
      <c r="Y117" s="72"/>
      <c r="Z117" s="132"/>
    </row>
    <row r="118" spans="12:26" ht="14.25" customHeight="1" x14ac:dyDescent="0.3">
      <c r="L118" s="136"/>
      <c r="M118" s="136"/>
      <c r="N118" s="136"/>
      <c r="O118" s="136"/>
      <c r="Z118" s="138"/>
    </row>
    <row r="119" spans="12:26" ht="14.25" customHeight="1" x14ac:dyDescent="0.3">
      <c r="L119" s="136"/>
      <c r="M119" s="136"/>
      <c r="N119" s="136"/>
      <c r="O119" s="136"/>
    </row>
    <row r="120" spans="12:26" ht="14.25" customHeight="1" x14ac:dyDescent="0.3">
      <c r="L120" s="136"/>
      <c r="M120" s="136"/>
      <c r="N120" s="136"/>
      <c r="O120" s="136"/>
    </row>
    <row r="121" spans="12:26" ht="14.25" customHeight="1" x14ac:dyDescent="0.3">
      <c r="L121" s="136"/>
      <c r="M121" s="136"/>
      <c r="N121" s="136"/>
      <c r="O121" s="136"/>
    </row>
    <row r="122" spans="12:26" ht="14.25" customHeight="1" x14ac:dyDescent="0.3">
      <c r="L122" s="136"/>
      <c r="M122" s="136"/>
      <c r="N122" s="136"/>
      <c r="O122" s="136"/>
    </row>
    <row r="123" spans="12:26" ht="14.25" customHeight="1" x14ac:dyDescent="0.3">
      <c r="L123" s="136"/>
      <c r="M123" s="136"/>
      <c r="N123" s="136"/>
      <c r="O123" s="136"/>
    </row>
    <row r="124" spans="12:26" ht="14.25" customHeight="1" x14ac:dyDescent="0.3">
      <c r="L124" s="136"/>
      <c r="M124" s="136"/>
      <c r="N124" s="136"/>
      <c r="O124" s="136"/>
    </row>
    <row r="125" spans="12:26" ht="14.25" customHeight="1" x14ac:dyDescent="0.3">
      <c r="L125" s="136"/>
      <c r="M125" s="136"/>
      <c r="N125" s="136"/>
      <c r="O125" s="136"/>
    </row>
    <row r="126" spans="12:26" ht="14.25" customHeight="1" x14ac:dyDescent="0.3">
      <c r="L126" s="136"/>
      <c r="M126" s="136"/>
      <c r="N126" s="136"/>
      <c r="O126" s="136"/>
    </row>
    <row r="127" spans="12:26" ht="14.25" customHeight="1" x14ac:dyDescent="0.3">
      <c r="L127" s="136"/>
      <c r="M127" s="136"/>
      <c r="N127" s="136"/>
      <c r="O127" s="136"/>
    </row>
    <row r="128" spans="12:26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02B6-00EA-48E3-B9C4-DAE0F708C699}">
  <sheetPr codeName="Sheet57"/>
  <dimension ref="A1:AG1000"/>
  <sheetViews>
    <sheetView topLeftCell="A8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530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527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531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1845</v>
      </c>
      <c r="M23" s="78"/>
      <c r="N23" s="56"/>
      <c r="O23" s="78">
        <f>SUM(I23*L23)</f>
        <v>1845</v>
      </c>
      <c r="P23" s="79"/>
      <c r="Q23" s="79">
        <v>8.1999999999999993</v>
      </c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>
        <v>2</v>
      </c>
      <c r="B24" s="54"/>
      <c r="C24" s="10" t="s">
        <v>48</v>
      </c>
      <c r="D24" s="10"/>
      <c r="E24" s="10"/>
      <c r="F24" s="10"/>
      <c r="G24" s="10"/>
      <c r="H24" s="10"/>
      <c r="I24" s="54">
        <v>2</v>
      </c>
      <c r="J24" s="55" t="s">
        <v>49</v>
      </c>
      <c r="K24" s="10"/>
      <c r="L24" s="56">
        <v>277.5</v>
      </c>
      <c r="M24" s="78"/>
      <c r="N24" s="56"/>
      <c r="O24" s="78">
        <f t="shared" ref="O24:O25" si="0">SUM(I24*L24)</f>
        <v>555</v>
      </c>
      <c r="P24" s="79"/>
      <c r="Q24" s="79">
        <v>7.5</v>
      </c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>
        <v>3</v>
      </c>
      <c r="B25" s="54"/>
      <c r="C25" s="156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115</v>
      </c>
      <c r="M25" s="78"/>
      <c r="N25" s="56"/>
      <c r="O25" s="78">
        <f t="shared" si="0"/>
        <v>115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2515</v>
      </c>
    </row>
    <row r="55" spans="1:15" ht="14.25" customHeight="1" x14ac:dyDescent="0.35">
      <c r="A55" s="10" t="s">
        <v>532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6EC8-EB1F-4688-8E81-27C05D484C3B}">
  <sheetPr codeName="Sheet58"/>
  <dimension ref="A1:AJ1003"/>
  <sheetViews>
    <sheetView topLeftCell="A15" zoomScaleNormal="100" workbookViewId="0">
      <selection activeCell="R26" sqref="R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9140625" customWidth="1"/>
    <col min="22" max="22" width="12.6640625" customWidth="1"/>
    <col min="23" max="23" width="2" style="66" customWidth="1"/>
    <col min="24" max="24" width="1.75" style="66" customWidth="1"/>
    <col min="25" max="25" width="12.58203125" style="66" customWidth="1"/>
    <col min="26" max="26" width="12.25" customWidth="1"/>
    <col min="27" max="27" width="9.75" bestFit="1" customWidth="1"/>
    <col min="28" max="28" width="10.08203125" customWidth="1"/>
    <col min="29" max="29" width="11.33203125" customWidth="1"/>
    <col min="30" max="30" width="6.58203125" customWidth="1"/>
    <col min="31" max="1030" width="12.83203125" customWidth="1"/>
    <col min="1031" max="1031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528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527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6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529</v>
      </c>
      <c r="O17" s="10"/>
    </row>
    <row r="18" spans="1:36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6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6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6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6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72"/>
      <c r="Y22" s="66">
        <v>1225</v>
      </c>
      <c r="Z22" s="72" t="s">
        <v>116</v>
      </c>
      <c r="AA22" s="72" t="s">
        <v>117</v>
      </c>
      <c r="AB22" s="72" t="s">
        <v>118</v>
      </c>
      <c r="AC22" s="73" t="s">
        <v>119</v>
      </c>
      <c r="AD22" s="74" t="s">
        <v>120</v>
      </c>
      <c r="AE22" s="74" t="s">
        <v>121</v>
      </c>
      <c r="AF22" s="75" t="s">
        <v>122</v>
      </c>
      <c r="AG22" s="74" t="s">
        <v>123</v>
      </c>
      <c r="AH22" s="74" t="s">
        <v>124</v>
      </c>
      <c r="AI22" s="74" t="s">
        <v>125</v>
      </c>
      <c r="AJ22" s="74" t="s">
        <v>125</v>
      </c>
    </row>
    <row r="23" spans="1:36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/>
      <c r="Y23" s="79">
        <v>6.8</v>
      </c>
      <c r="Z23" s="79">
        <v>6.9</v>
      </c>
      <c r="AA23" s="79">
        <v>7</v>
      </c>
      <c r="AC23" s="79"/>
      <c r="AD23" s="66"/>
      <c r="AE23" s="80">
        <v>7.2</v>
      </c>
      <c r="AG23" s="79">
        <v>7.3</v>
      </c>
      <c r="AH23" s="79">
        <v>7.4</v>
      </c>
      <c r="AI23" s="79">
        <v>7.4</v>
      </c>
      <c r="AJ23" s="79">
        <v>7.4</v>
      </c>
    </row>
    <row r="24" spans="1:36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6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/>
      <c r="Z24" s="79"/>
      <c r="AA24" s="79">
        <v>5.9</v>
      </c>
      <c r="AB24" s="79">
        <v>5.9</v>
      </c>
      <c r="AC24" s="79"/>
      <c r="AD24" s="66"/>
      <c r="AE24" s="80"/>
      <c r="AF24" s="79">
        <v>5.8</v>
      </c>
      <c r="AH24" s="79">
        <v>5.9</v>
      </c>
      <c r="AI24" s="79">
        <v>6.1</v>
      </c>
    </row>
    <row r="25" spans="1:36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Y25"/>
      <c r="AA25" s="79">
        <v>5.0999999999999996</v>
      </c>
      <c r="AB25" s="79"/>
      <c r="AC25" s="79">
        <v>5.5</v>
      </c>
      <c r="AD25" s="66"/>
      <c r="AE25" s="66"/>
      <c r="AF25" s="79">
        <v>5.3</v>
      </c>
      <c r="AH25" s="79">
        <v>5.3</v>
      </c>
      <c r="AI25" s="81">
        <v>6</v>
      </c>
      <c r="AJ25" s="79">
        <v>6.1</v>
      </c>
    </row>
    <row r="26" spans="1:36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Y26"/>
      <c r="AA26" s="79"/>
      <c r="AC26" s="79"/>
      <c r="AD26" s="66"/>
      <c r="AE26" s="66"/>
      <c r="AJ26" s="81">
        <v>5.5</v>
      </c>
    </row>
    <row r="27" spans="1:36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6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B28" s="79"/>
      <c r="AC28" s="79"/>
      <c r="AD28" s="79"/>
    </row>
    <row r="29" spans="1:36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6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Z30" s="84"/>
      <c r="AA30" s="84"/>
      <c r="AB30" s="84"/>
    </row>
    <row r="31" spans="1:36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Z31" s="87"/>
      <c r="AA31" s="84"/>
      <c r="AB31" s="88"/>
    </row>
    <row r="32" spans="1:36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Z32" s="91"/>
      <c r="AA32" s="84"/>
      <c r="AB32" s="92"/>
    </row>
    <row r="33" spans="1:3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Z33" s="91"/>
      <c r="AA33" s="96"/>
      <c r="AB33" s="97"/>
    </row>
    <row r="34" spans="1:3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Z34" s="91"/>
      <c r="AA34" s="96"/>
      <c r="AB34" s="88"/>
      <c r="AE34" s="66"/>
    </row>
    <row r="35" spans="1:3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Z35" s="91"/>
      <c r="AA35" s="96"/>
      <c r="AB35" s="97"/>
    </row>
    <row r="36" spans="1:3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Z36" s="91"/>
      <c r="AA36" s="96"/>
      <c r="AB36" s="99"/>
    </row>
    <row r="37" spans="1:3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Z37" s="91"/>
      <c r="AA37" s="96"/>
      <c r="AB37" s="100"/>
    </row>
    <row r="38" spans="1:3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101"/>
      <c r="Y38" s="95"/>
      <c r="Z38" s="91"/>
      <c r="AA38" s="96"/>
      <c r="AB38" s="102"/>
    </row>
    <row r="39" spans="1:3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3"/>
      <c r="Y39" s="104"/>
      <c r="Z39" s="91"/>
      <c r="AA39" s="96"/>
      <c r="AB39" s="100"/>
    </row>
    <row r="40" spans="1:3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3"/>
      <c r="Y40" s="104"/>
      <c r="Z40" s="91"/>
      <c r="AA40" s="96"/>
      <c r="AB40" s="105"/>
    </row>
    <row r="41" spans="1:3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101"/>
      <c r="Y41" s="95"/>
      <c r="Z41" s="91"/>
      <c r="AA41" s="96"/>
      <c r="AB41" s="105"/>
    </row>
    <row r="42" spans="1:3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3"/>
      <c r="Y42" s="106"/>
      <c r="Z42" s="91"/>
      <c r="AA42" s="96"/>
      <c r="AB42" s="105"/>
    </row>
    <row r="43" spans="1:3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3"/>
      <c r="Y43" s="104"/>
      <c r="Z43" s="91"/>
      <c r="AA43" s="96"/>
      <c r="AB43" s="105"/>
    </row>
    <row r="44" spans="1:3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101"/>
      <c r="Y44" s="95"/>
      <c r="Z44" s="91"/>
      <c r="AA44" s="96"/>
      <c r="AB44" s="97"/>
    </row>
    <row r="45" spans="1:3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7"/>
      <c r="Y45" s="108"/>
      <c r="Z45" s="91"/>
      <c r="AA45" s="96"/>
      <c r="AB45" s="102"/>
    </row>
    <row r="46" spans="1:3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7"/>
      <c r="Y46" s="109"/>
      <c r="Z46" s="91"/>
      <c r="AA46" s="96"/>
      <c r="AB46" s="105"/>
    </row>
    <row r="47" spans="1:3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7"/>
      <c r="Y47" s="108"/>
      <c r="Z47" s="91"/>
      <c r="AA47" s="96"/>
      <c r="AB47" s="105"/>
    </row>
    <row r="48" spans="1:3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7"/>
      <c r="Y48" s="108"/>
      <c r="Z48" s="91"/>
      <c r="AA48" s="96"/>
      <c r="AB48" s="105"/>
    </row>
    <row r="49" spans="1:30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10"/>
      <c r="Y49" s="109"/>
      <c r="Z49" s="91"/>
      <c r="AA49" s="96"/>
      <c r="AB49" s="105"/>
    </row>
    <row r="50" spans="1:30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7"/>
      <c r="Y50" s="108"/>
      <c r="Z50" s="91"/>
      <c r="AA50" s="96"/>
      <c r="AB50" s="102"/>
    </row>
    <row r="51" spans="1:30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7"/>
      <c r="Y51" s="108"/>
      <c r="Z51" s="91"/>
      <c r="AA51" s="96"/>
      <c r="AB51" s="105"/>
    </row>
    <row r="52" spans="1:30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7"/>
      <c r="Y52" s="108"/>
      <c r="Z52" s="91"/>
      <c r="AA52" s="96"/>
      <c r="AB52" s="105"/>
    </row>
    <row r="53" spans="1:30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7"/>
      <c r="Y53" s="108"/>
      <c r="Z53" s="119"/>
      <c r="AA53" s="91"/>
      <c r="AB53" s="105"/>
    </row>
    <row r="54" spans="1:30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13885</v>
      </c>
      <c r="T54" s="98">
        <v>46213</v>
      </c>
      <c r="U54" s="90" t="s">
        <v>148</v>
      </c>
      <c r="V54" s="132">
        <v>16715</v>
      </c>
      <c r="W54" s="110"/>
      <c r="X54" s="110"/>
      <c r="Y54" s="109"/>
      <c r="Z54" s="119"/>
      <c r="AA54" s="91"/>
      <c r="AB54" s="126"/>
    </row>
    <row r="55" spans="1:30" ht="14.25" customHeight="1" x14ac:dyDescent="0.35">
      <c r="A55" s="10" t="s">
        <v>520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10"/>
      <c r="Y55" s="109"/>
      <c r="Z55" s="119"/>
      <c r="AA55" s="91"/>
      <c r="AB55" s="84"/>
    </row>
    <row r="56" spans="1:30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27"/>
      <c r="Y56" s="108"/>
      <c r="Z56" s="128"/>
    </row>
    <row r="57" spans="1:30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27"/>
      <c r="Y57" s="108"/>
      <c r="Z57" s="129"/>
    </row>
    <row r="58" spans="1:30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10"/>
      <c r="Y58" s="109"/>
      <c r="Z58" s="130"/>
    </row>
    <row r="59" spans="1:30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31"/>
      <c r="Y59" s="109"/>
      <c r="Z59" s="99"/>
    </row>
    <row r="60" spans="1:30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27"/>
      <c r="Y60" s="108"/>
      <c r="Z60" s="132"/>
      <c r="AD60" t="s">
        <v>151</v>
      </c>
    </row>
    <row r="61" spans="1:30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27"/>
      <c r="Y61" s="108"/>
      <c r="Z61" s="129"/>
    </row>
    <row r="62" spans="1:30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31"/>
      <c r="Y62" s="109"/>
      <c r="Z62" s="133"/>
    </row>
    <row r="63" spans="1:30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27"/>
      <c r="Y63" s="108"/>
      <c r="Z63" s="100"/>
    </row>
    <row r="64" spans="1:30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96">
        <v>14935</v>
      </c>
      <c r="W64" s="198"/>
      <c r="X64" s="198"/>
      <c r="Y64" s="189"/>
      <c r="Z64" s="129"/>
    </row>
    <row r="65" spans="1:29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29" ht="14.25" customHeight="1" x14ac:dyDescent="0.3">
      <c r="L66" s="136"/>
      <c r="M66" s="136"/>
      <c r="N66" s="136"/>
      <c r="O66" s="136"/>
      <c r="T66" s="85" t="s">
        <v>484</v>
      </c>
      <c r="V66" s="199">
        <f>SUM(V51:V64)</f>
        <v>218387.69999999998</v>
      </c>
      <c r="W66" s="86"/>
      <c r="X66" s="86"/>
      <c r="Y66" s="200">
        <v>218387.69999999998</v>
      </c>
      <c r="Z66" s="201">
        <v>619828.4</v>
      </c>
    </row>
    <row r="67" spans="1:29" ht="13" customHeight="1" x14ac:dyDescent="0.3">
      <c r="L67" s="136"/>
      <c r="M67" s="136"/>
      <c r="N67" s="136"/>
      <c r="O67" s="136"/>
      <c r="T67" s="98">
        <v>46235</v>
      </c>
      <c r="U67" s="90" t="s">
        <v>485</v>
      </c>
      <c r="V67" s="146">
        <v>14763.2</v>
      </c>
      <c r="W67" s="127"/>
      <c r="X67" s="127"/>
      <c r="Y67" s="190">
        <f>SUM(Y66+V67)</f>
        <v>233150.9</v>
      </c>
      <c r="Z67" s="191">
        <f>SUM(Z66+V67)</f>
        <v>634591.6</v>
      </c>
    </row>
    <row r="68" spans="1:29" ht="14.25" customHeight="1" x14ac:dyDescent="0.3">
      <c r="L68" s="136"/>
      <c r="M68" s="136"/>
      <c r="N68" s="136"/>
      <c r="O68" s="136"/>
      <c r="T68" s="93">
        <v>46238</v>
      </c>
      <c r="U68" s="94" t="s">
        <v>135</v>
      </c>
      <c r="V68" s="192">
        <v>-17000</v>
      </c>
      <c r="W68" s="192"/>
      <c r="X68" s="192"/>
      <c r="Y68" s="190">
        <f t="shared" ref="Y68:Y81" si="1">SUM(Y67+V68)</f>
        <v>216150.9</v>
      </c>
      <c r="Z68" s="191">
        <f t="shared" ref="Z68:Z81" si="2">SUM(Z67+V68)</f>
        <v>617591.6</v>
      </c>
    </row>
    <row r="69" spans="1:29" ht="14.25" customHeight="1" x14ac:dyDescent="0.3">
      <c r="L69" s="136"/>
      <c r="M69" s="136"/>
      <c r="N69" s="136"/>
      <c r="O69" s="136"/>
      <c r="T69" s="91">
        <v>46239</v>
      </c>
      <c r="U69" s="90" t="s">
        <v>486</v>
      </c>
      <c r="V69" s="146">
        <v>16036</v>
      </c>
      <c r="W69" s="131"/>
      <c r="X69" s="131"/>
      <c r="Y69" s="190">
        <f t="shared" si="1"/>
        <v>232186.9</v>
      </c>
      <c r="Z69" s="191">
        <f t="shared" si="2"/>
        <v>633627.6</v>
      </c>
    </row>
    <row r="70" spans="1:29" ht="14.25" customHeight="1" x14ac:dyDescent="0.3">
      <c r="L70" s="136"/>
      <c r="M70" s="136"/>
      <c r="N70" s="136"/>
      <c r="O70" s="136"/>
      <c r="T70" s="93">
        <v>46241</v>
      </c>
      <c r="U70" s="94" t="s">
        <v>135</v>
      </c>
      <c r="V70" s="193">
        <v>-15000</v>
      </c>
      <c r="W70" s="194"/>
      <c r="X70" s="194"/>
      <c r="Y70" s="190">
        <f t="shared" si="1"/>
        <v>217186.9</v>
      </c>
      <c r="Z70" s="191">
        <f t="shared" si="2"/>
        <v>618627.6</v>
      </c>
    </row>
    <row r="71" spans="1:29" ht="14.25" customHeight="1" x14ac:dyDescent="0.3">
      <c r="L71" s="136"/>
      <c r="M71" s="136"/>
      <c r="N71" s="136"/>
      <c r="O71" s="136"/>
      <c r="T71" s="98">
        <v>46242</v>
      </c>
      <c r="U71" s="90" t="s">
        <v>487</v>
      </c>
      <c r="V71" s="195">
        <v>11837</v>
      </c>
      <c r="W71" s="127"/>
      <c r="X71" s="127"/>
      <c r="Y71" s="190">
        <f t="shared" si="1"/>
        <v>229023.9</v>
      </c>
      <c r="Z71" s="191">
        <f t="shared" si="2"/>
        <v>630464.6</v>
      </c>
    </row>
    <row r="72" spans="1:29" ht="14.25" customHeight="1" x14ac:dyDescent="0.3">
      <c r="L72" s="136"/>
      <c r="M72" s="136"/>
      <c r="N72" s="136"/>
      <c r="O72" s="136"/>
      <c r="T72" s="93">
        <v>46244</v>
      </c>
      <c r="U72" s="94" t="s">
        <v>135</v>
      </c>
      <c r="V72" s="193">
        <v>-10000</v>
      </c>
      <c r="W72" s="193"/>
      <c r="X72" s="193"/>
      <c r="Y72" s="190">
        <f t="shared" si="1"/>
        <v>219023.9</v>
      </c>
      <c r="Z72" s="191">
        <f t="shared" si="2"/>
        <v>620464.6</v>
      </c>
    </row>
    <row r="73" spans="1:29" ht="14.25" customHeight="1" x14ac:dyDescent="0.3">
      <c r="L73" s="136"/>
      <c r="M73" s="136"/>
      <c r="N73" s="136"/>
      <c r="O73" s="136"/>
      <c r="T73" s="98">
        <v>46245</v>
      </c>
      <c r="U73" s="90" t="s">
        <v>488</v>
      </c>
      <c r="V73" s="195">
        <v>8781</v>
      </c>
      <c r="W73" s="127"/>
      <c r="X73" s="127"/>
      <c r="Y73" s="190">
        <f t="shared" si="1"/>
        <v>227804.9</v>
      </c>
      <c r="Z73" s="191">
        <f t="shared" si="2"/>
        <v>629245.6</v>
      </c>
      <c r="AC73" s="79"/>
    </row>
    <row r="74" spans="1:29" ht="14.25" customHeight="1" x14ac:dyDescent="0.3">
      <c r="L74" s="136"/>
      <c r="M74" s="136"/>
      <c r="N74" s="136"/>
      <c r="O74" s="136"/>
      <c r="T74" s="93">
        <v>46246</v>
      </c>
      <c r="U74" s="94" t="s">
        <v>135</v>
      </c>
      <c r="V74" s="193">
        <v>-10000</v>
      </c>
      <c r="W74" s="193"/>
      <c r="X74" s="193"/>
      <c r="Y74" s="190">
        <f t="shared" si="1"/>
        <v>217804.9</v>
      </c>
      <c r="Z74" s="191">
        <f t="shared" si="2"/>
        <v>619245.6</v>
      </c>
      <c r="AC74" s="79"/>
    </row>
    <row r="75" spans="1:29" ht="14.25" customHeight="1" x14ac:dyDescent="0.3">
      <c r="L75" s="136"/>
      <c r="M75" s="136"/>
      <c r="N75" s="136"/>
      <c r="O75" s="136"/>
      <c r="T75" s="98">
        <v>46246</v>
      </c>
      <c r="U75" s="90" t="s">
        <v>489</v>
      </c>
      <c r="V75" s="195">
        <v>8781</v>
      </c>
      <c r="W75" s="93"/>
      <c r="X75" s="93"/>
      <c r="Y75" s="190">
        <f t="shared" si="1"/>
        <v>226585.9</v>
      </c>
      <c r="Z75" s="191">
        <f t="shared" si="2"/>
        <v>628026.6</v>
      </c>
    </row>
    <row r="76" spans="1:29" ht="14.25" customHeight="1" x14ac:dyDescent="0.3">
      <c r="L76" s="136"/>
      <c r="M76" s="136"/>
      <c r="N76" s="136"/>
      <c r="O76" s="136"/>
      <c r="T76" s="93">
        <v>46247</v>
      </c>
      <c r="U76" s="94" t="s">
        <v>135</v>
      </c>
      <c r="V76" s="193">
        <v>-15000</v>
      </c>
      <c r="W76" s="193"/>
      <c r="X76" s="193"/>
      <c r="Y76" s="190">
        <f t="shared" si="1"/>
        <v>211585.9</v>
      </c>
      <c r="Z76" s="191">
        <f t="shared" si="2"/>
        <v>613026.6</v>
      </c>
    </row>
    <row r="77" spans="1:29" ht="14.25" customHeight="1" x14ac:dyDescent="0.3">
      <c r="L77" s="136"/>
      <c r="M77" s="136"/>
      <c r="N77" s="136"/>
      <c r="O77" s="136"/>
      <c r="T77" s="98">
        <v>46247</v>
      </c>
      <c r="U77" s="90" t="s">
        <v>490</v>
      </c>
      <c r="V77" s="195">
        <v>13276</v>
      </c>
      <c r="W77" s="103"/>
      <c r="X77" s="103"/>
      <c r="Y77" s="190">
        <f t="shared" si="1"/>
        <v>224861.9</v>
      </c>
      <c r="Z77" s="191">
        <f t="shared" si="2"/>
        <v>626302.6</v>
      </c>
    </row>
    <row r="78" spans="1:29" ht="14.25" customHeight="1" x14ac:dyDescent="0.3">
      <c r="L78" s="136"/>
      <c r="M78" s="136"/>
      <c r="N78" s="136"/>
      <c r="O78" s="136"/>
      <c r="T78" s="98">
        <v>46248</v>
      </c>
      <c r="U78" s="90" t="s">
        <v>491</v>
      </c>
      <c r="V78" s="195">
        <v>14889</v>
      </c>
      <c r="W78" s="98"/>
      <c r="X78" s="98"/>
      <c r="Y78" s="190">
        <f t="shared" si="1"/>
        <v>239750.9</v>
      </c>
      <c r="Z78" s="191">
        <f t="shared" si="2"/>
        <v>641191.6</v>
      </c>
    </row>
    <row r="79" spans="1:29" ht="14.25" customHeight="1" x14ac:dyDescent="0.3">
      <c r="L79" s="136"/>
      <c r="M79" s="136"/>
      <c r="N79" s="136"/>
      <c r="O79" s="136"/>
      <c r="T79" s="98">
        <v>46252</v>
      </c>
      <c r="U79" s="90" t="s">
        <v>492</v>
      </c>
      <c r="V79" s="195">
        <v>14226</v>
      </c>
      <c r="W79" s="98"/>
      <c r="X79" s="98"/>
      <c r="Y79" s="190">
        <f t="shared" si="1"/>
        <v>253976.9</v>
      </c>
      <c r="Z79" s="191">
        <f t="shared" si="2"/>
        <v>655417.59999999998</v>
      </c>
    </row>
    <row r="80" spans="1:29" ht="14.25" customHeight="1" x14ac:dyDescent="0.3">
      <c r="L80" s="136"/>
      <c r="M80" s="136"/>
      <c r="N80" s="136"/>
      <c r="O80" s="136"/>
      <c r="T80" s="93">
        <v>46252</v>
      </c>
      <c r="U80" s="94" t="s">
        <v>135</v>
      </c>
      <c r="V80" s="193">
        <v>-15000</v>
      </c>
      <c r="W80" s="193"/>
      <c r="X80" s="193"/>
      <c r="Y80" s="190">
        <f t="shared" si="1"/>
        <v>238976.9</v>
      </c>
      <c r="Z80" s="191">
        <f t="shared" si="2"/>
        <v>640417.6</v>
      </c>
    </row>
    <row r="81" spans="12:26" ht="14.25" customHeight="1" x14ac:dyDescent="0.3">
      <c r="L81" s="136"/>
      <c r="M81" s="136"/>
      <c r="N81" s="136"/>
      <c r="O81" s="136"/>
      <c r="T81" s="98">
        <v>46255</v>
      </c>
      <c r="U81" s="90" t="s">
        <v>493</v>
      </c>
      <c r="V81" s="146">
        <v>14885</v>
      </c>
      <c r="W81" s="98"/>
      <c r="X81" s="98"/>
      <c r="Y81" s="190">
        <f t="shared" si="1"/>
        <v>253861.9</v>
      </c>
      <c r="Z81" s="191">
        <f t="shared" si="2"/>
        <v>655302.6</v>
      </c>
    </row>
    <row r="82" spans="12:26" ht="14.25" customHeight="1" x14ac:dyDescent="0.3">
      <c r="L82" s="136"/>
      <c r="M82" s="136"/>
      <c r="N82" s="136"/>
      <c r="O82" s="136"/>
      <c r="T82" s="93">
        <v>46258</v>
      </c>
      <c r="U82" s="94" t="s">
        <v>135</v>
      </c>
      <c r="V82" s="193">
        <v>-18000</v>
      </c>
      <c r="W82" s="98"/>
      <c r="X82" s="98"/>
      <c r="Y82" s="190">
        <f t="shared" ref="Y82:Y86" si="3">SUM(Y81+V82)</f>
        <v>235861.9</v>
      </c>
      <c r="Z82" s="191">
        <f t="shared" ref="Z82:Z86" si="4">SUM(Z81+V82)</f>
        <v>637302.6</v>
      </c>
    </row>
    <row r="83" spans="12:26" ht="14.25" customHeight="1" x14ac:dyDescent="0.3">
      <c r="L83" s="136"/>
      <c r="M83" s="136"/>
      <c r="N83" s="136"/>
      <c r="O83" s="136"/>
      <c r="T83" s="98">
        <v>46258</v>
      </c>
      <c r="U83" s="90" t="s">
        <v>498</v>
      </c>
      <c r="V83" s="146">
        <v>14885</v>
      </c>
      <c r="W83" s="197">
        <f>SUM(W67:W81)</f>
        <v>0</v>
      </c>
      <c r="X83" s="197"/>
      <c r="Y83" s="190">
        <f t="shared" si="3"/>
        <v>250746.9</v>
      </c>
      <c r="Z83" s="191">
        <f t="shared" si="4"/>
        <v>652187.6</v>
      </c>
    </row>
    <row r="84" spans="12:26" ht="14.25" customHeight="1" x14ac:dyDescent="0.3">
      <c r="L84" s="136"/>
      <c r="M84" s="136"/>
      <c r="N84" s="136"/>
      <c r="O84" s="136"/>
      <c r="T84" s="93">
        <v>46260</v>
      </c>
      <c r="U84" s="94" t="s">
        <v>135</v>
      </c>
      <c r="V84" s="193">
        <v>-15000</v>
      </c>
      <c r="W84" s="98"/>
      <c r="X84" s="98"/>
      <c r="Y84" s="190">
        <f t="shared" si="3"/>
        <v>235746.9</v>
      </c>
      <c r="Z84" s="191">
        <f t="shared" si="4"/>
        <v>637187.6</v>
      </c>
    </row>
    <row r="85" spans="12:26" ht="14.25" customHeight="1" x14ac:dyDescent="0.3">
      <c r="L85" s="136"/>
      <c r="M85" s="136"/>
      <c r="N85" s="136"/>
      <c r="O85" s="136"/>
      <c r="T85" s="98">
        <v>46261</v>
      </c>
      <c r="U85" s="90" t="s">
        <v>533</v>
      </c>
      <c r="V85" s="146">
        <v>13885</v>
      </c>
      <c r="W85" s="98"/>
      <c r="X85" s="98"/>
      <c r="Y85" s="190">
        <f t="shared" si="3"/>
        <v>249631.9</v>
      </c>
      <c r="Z85" s="191">
        <f t="shared" si="4"/>
        <v>651072.6</v>
      </c>
    </row>
    <row r="86" spans="12:26" ht="14.25" customHeight="1" x14ac:dyDescent="0.3">
      <c r="L86" s="136"/>
      <c r="M86" s="136"/>
      <c r="N86" s="136"/>
      <c r="O86" s="136"/>
      <c r="T86" s="98">
        <v>46263</v>
      </c>
      <c r="U86" s="90" t="s">
        <v>534</v>
      </c>
      <c r="V86" s="146">
        <v>13885</v>
      </c>
      <c r="W86" s="98"/>
      <c r="X86" s="98"/>
      <c r="Y86" s="190">
        <f t="shared" si="3"/>
        <v>263516.90000000002</v>
      </c>
      <c r="Z86" s="191">
        <f t="shared" si="4"/>
        <v>664957.6</v>
      </c>
    </row>
    <row r="87" spans="12:26" ht="14.25" customHeight="1" thickBot="1" x14ac:dyDescent="0.35">
      <c r="L87" s="136"/>
      <c r="M87" s="136"/>
      <c r="N87" s="136"/>
      <c r="O87" s="136"/>
      <c r="V87" s="176">
        <f>SUM(V66:V86)</f>
        <v>263516.90000000002</v>
      </c>
      <c r="W87" s="98"/>
      <c r="X87" s="98"/>
      <c r="Z87" s="139"/>
    </row>
    <row r="88" spans="12:26" ht="14.25" customHeight="1" thickTop="1" x14ac:dyDescent="0.3">
      <c r="L88" s="136"/>
      <c r="M88" s="136"/>
      <c r="N88" s="136"/>
      <c r="O88" s="136"/>
      <c r="W88" s="98"/>
      <c r="X88" s="98"/>
      <c r="Z88" s="139"/>
    </row>
    <row r="89" spans="12:26" ht="14.25" customHeight="1" x14ac:dyDescent="0.3">
      <c r="L89" s="136"/>
      <c r="M89" s="136"/>
      <c r="N89" s="136"/>
      <c r="O89" s="136"/>
      <c r="W89" s="98"/>
      <c r="X89" s="98"/>
      <c r="Y89" s="72"/>
      <c r="Z89" s="147"/>
    </row>
    <row r="90" spans="12:26" ht="14.25" customHeight="1" x14ac:dyDescent="0.3">
      <c r="L90" s="136"/>
      <c r="M90" s="136"/>
      <c r="N90" s="136"/>
      <c r="O90" s="136"/>
      <c r="W90" s="98"/>
      <c r="X90" s="98"/>
      <c r="Y90" s="72"/>
      <c r="Z90" s="147"/>
    </row>
    <row r="91" spans="12:26" ht="14.25" customHeight="1" x14ac:dyDescent="0.3">
      <c r="L91" s="136"/>
      <c r="M91" s="136"/>
      <c r="N91" s="136"/>
      <c r="O91" s="136"/>
      <c r="W91" s="98"/>
      <c r="X91" s="98"/>
      <c r="Z91" s="139"/>
    </row>
    <row r="92" spans="12:26" ht="14.25" customHeight="1" x14ac:dyDescent="0.3">
      <c r="L92" s="136"/>
      <c r="M92" s="136"/>
      <c r="N92" s="136"/>
      <c r="O92" s="136"/>
      <c r="W92" s="98"/>
      <c r="X92" s="98"/>
      <c r="Y92" s="72"/>
      <c r="Z92" s="147"/>
    </row>
    <row r="93" spans="12:26" ht="14.25" customHeight="1" x14ac:dyDescent="0.3">
      <c r="L93" s="136"/>
      <c r="M93" s="136"/>
      <c r="N93" s="136"/>
      <c r="O93" s="136"/>
      <c r="W93" s="98"/>
      <c r="X93" s="98"/>
      <c r="Y93" s="72"/>
      <c r="Z93" s="147"/>
    </row>
    <row r="94" spans="12:26" ht="14.25" customHeight="1" x14ac:dyDescent="0.3">
      <c r="L94" s="136"/>
      <c r="M94" s="136"/>
      <c r="N94" s="136"/>
      <c r="O94" s="136"/>
      <c r="W94" s="98"/>
      <c r="X94" s="98"/>
      <c r="Y94" s="72"/>
      <c r="Z94" s="138"/>
    </row>
    <row r="95" spans="12:26" ht="14.25" customHeight="1" x14ac:dyDescent="0.3">
      <c r="L95" s="136"/>
      <c r="M95" s="136"/>
      <c r="N95" s="136"/>
      <c r="O95" s="136"/>
      <c r="W95" s="98"/>
      <c r="X95" s="98"/>
      <c r="Y95" s="72"/>
      <c r="Z95" s="139"/>
    </row>
    <row r="96" spans="12:26" ht="14.25" customHeight="1" x14ac:dyDescent="0.3">
      <c r="L96" s="136"/>
      <c r="M96" s="136"/>
      <c r="N96" s="136"/>
      <c r="O96" s="136"/>
      <c r="W96" s="98"/>
      <c r="X96" s="98"/>
      <c r="Y96" s="72"/>
      <c r="Z96" s="132"/>
    </row>
    <row r="97" spans="12:26" ht="14.25" customHeight="1" x14ac:dyDescent="0.3">
      <c r="L97" s="136"/>
      <c r="M97" s="136"/>
      <c r="N97" s="136"/>
      <c r="O97" s="136"/>
      <c r="W97" s="98"/>
      <c r="X97" s="98"/>
      <c r="Y97" s="72"/>
      <c r="Z97" s="132"/>
    </row>
    <row r="98" spans="12:26" ht="14.25" customHeight="1" x14ac:dyDescent="0.3">
      <c r="L98" s="136"/>
      <c r="M98" s="136"/>
      <c r="N98" s="136"/>
      <c r="O98" s="136"/>
      <c r="Z98" s="132"/>
    </row>
    <row r="99" spans="12:26" ht="14.25" customHeight="1" x14ac:dyDescent="0.3">
      <c r="L99" s="136"/>
      <c r="M99" s="136"/>
      <c r="N99" s="136"/>
      <c r="O99" s="136"/>
      <c r="W99" s="98"/>
      <c r="X99" s="98"/>
      <c r="Z99" s="135"/>
    </row>
    <row r="100" spans="12:26" ht="14.25" customHeight="1" x14ac:dyDescent="0.3">
      <c r="L100" s="136"/>
      <c r="M100" s="136"/>
      <c r="N100" s="136"/>
      <c r="O100" s="136"/>
      <c r="W100" s="98"/>
      <c r="X100" s="98"/>
      <c r="Y100" s="72"/>
      <c r="Z100" s="139"/>
    </row>
    <row r="101" spans="12:26" ht="14.25" customHeight="1" x14ac:dyDescent="0.3">
      <c r="L101" s="136"/>
      <c r="M101" s="136"/>
      <c r="N101" s="136"/>
      <c r="O101" s="136"/>
      <c r="W101" s="98"/>
      <c r="X101" s="98"/>
      <c r="Y101" s="72"/>
      <c r="Z101" s="138"/>
    </row>
    <row r="102" spans="12:26" ht="14.25" customHeight="1" x14ac:dyDescent="0.3">
      <c r="L102" s="136"/>
      <c r="M102" s="136"/>
      <c r="N102" s="136"/>
      <c r="O102" s="136"/>
      <c r="W102" s="98"/>
      <c r="X102" s="98"/>
      <c r="Y102" s="72"/>
      <c r="Z102" s="138"/>
    </row>
    <row r="103" spans="12:26" ht="14.25" customHeight="1" x14ac:dyDescent="0.3">
      <c r="L103" s="136"/>
      <c r="M103" s="136"/>
      <c r="N103" s="136"/>
      <c r="O103" s="136"/>
      <c r="W103" s="98"/>
      <c r="X103" s="98"/>
      <c r="Y103" s="72"/>
      <c r="Z103" s="138"/>
    </row>
    <row r="104" spans="12:26" ht="14.25" customHeight="1" x14ac:dyDescent="0.3">
      <c r="L104" s="136"/>
      <c r="M104" s="136"/>
      <c r="N104" s="136"/>
      <c r="O104" s="136"/>
      <c r="W104" s="98"/>
      <c r="X104" s="98"/>
      <c r="Y104" s="72"/>
      <c r="Z104" s="138"/>
    </row>
    <row r="105" spans="12:26" ht="14.25" customHeight="1" x14ac:dyDescent="0.3">
      <c r="L105" s="136"/>
      <c r="M105" s="136"/>
      <c r="N105" s="136"/>
      <c r="O105" s="136"/>
      <c r="W105" s="98"/>
      <c r="X105" s="98"/>
      <c r="Y105" s="72"/>
      <c r="Z105" s="138"/>
    </row>
    <row r="106" spans="12:26" ht="14.25" customHeight="1" x14ac:dyDescent="0.3">
      <c r="L106" s="136"/>
      <c r="M106" s="136"/>
      <c r="N106" s="136"/>
      <c r="O106" s="136"/>
      <c r="W106" s="98"/>
      <c r="X106" s="98"/>
      <c r="Z106" s="135"/>
    </row>
    <row r="107" spans="12:26" ht="14.25" customHeight="1" x14ac:dyDescent="0.3">
      <c r="L107" s="136"/>
      <c r="M107" s="136"/>
      <c r="N107" s="136"/>
      <c r="O107" s="136"/>
      <c r="W107" s="98"/>
      <c r="X107" s="98"/>
      <c r="Y107" s="72"/>
      <c r="Z107" s="138"/>
    </row>
    <row r="108" spans="12:26" ht="14.25" customHeight="1" x14ac:dyDescent="0.3">
      <c r="L108" s="136"/>
      <c r="M108" s="136"/>
      <c r="N108" s="136"/>
      <c r="O108" s="136"/>
      <c r="W108" s="98"/>
      <c r="X108" s="98"/>
      <c r="Y108" s="72"/>
      <c r="Z108" s="138"/>
    </row>
    <row r="109" spans="12:26" ht="14.25" customHeight="1" x14ac:dyDescent="0.3">
      <c r="L109" s="136"/>
      <c r="M109" s="136"/>
      <c r="N109" s="136"/>
      <c r="O109" s="136"/>
      <c r="W109" s="98"/>
      <c r="X109" s="98"/>
      <c r="Y109" s="72"/>
      <c r="Z109" s="138"/>
    </row>
    <row r="110" spans="12:26" ht="14.25" customHeight="1" x14ac:dyDescent="0.3">
      <c r="L110" s="136"/>
      <c r="M110" s="136"/>
      <c r="N110" s="136"/>
      <c r="O110" s="136"/>
      <c r="W110" s="98"/>
      <c r="X110" s="98"/>
      <c r="Z110" s="139"/>
    </row>
    <row r="111" spans="12:26" ht="14.25" customHeight="1" x14ac:dyDescent="0.3">
      <c r="L111" s="136"/>
      <c r="M111" s="136"/>
      <c r="N111" s="136"/>
      <c r="O111" s="136"/>
      <c r="W111" s="98"/>
      <c r="X111" s="98"/>
      <c r="Z111" s="139"/>
    </row>
    <row r="112" spans="12:26" ht="14.25" customHeight="1" x14ac:dyDescent="0.3">
      <c r="L112" s="136"/>
      <c r="M112" s="136"/>
      <c r="N112" s="136"/>
      <c r="O112" s="136"/>
      <c r="W112" s="98"/>
      <c r="X112" s="98"/>
      <c r="Y112" s="72"/>
      <c r="Z112" s="138"/>
    </row>
    <row r="113" spans="12:26" ht="14.25" customHeight="1" x14ac:dyDescent="0.3">
      <c r="L113" s="136"/>
      <c r="M113" s="136"/>
      <c r="N113" s="136"/>
      <c r="O113" s="136"/>
      <c r="W113" s="98"/>
      <c r="X113" s="98"/>
      <c r="Y113" s="72"/>
      <c r="Z113" s="138"/>
    </row>
    <row r="114" spans="12:26" ht="14.25" customHeight="1" x14ac:dyDescent="0.3">
      <c r="L114" s="136"/>
      <c r="M114" s="136"/>
      <c r="N114" s="136"/>
      <c r="O114" s="136"/>
      <c r="W114" s="98"/>
      <c r="X114" s="98"/>
      <c r="Z114" s="139"/>
    </row>
    <row r="115" spans="12:26" ht="14.25" customHeight="1" x14ac:dyDescent="0.3">
      <c r="L115" s="136"/>
      <c r="M115" s="136"/>
      <c r="N115" s="136"/>
      <c r="O115" s="136"/>
      <c r="W115" s="98"/>
      <c r="X115" s="98"/>
      <c r="Y115" s="72"/>
      <c r="Z115" s="100"/>
    </row>
    <row r="116" spans="12:26" ht="14.25" customHeight="1" x14ac:dyDescent="0.3">
      <c r="L116" s="136"/>
      <c r="M116" s="136"/>
      <c r="N116" s="136"/>
      <c r="O116" s="136"/>
      <c r="W116" s="98"/>
      <c r="X116" s="98"/>
      <c r="Y116" s="72"/>
      <c r="Z116" s="132"/>
    </row>
    <row r="117" spans="12:26" ht="14.25" customHeight="1" x14ac:dyDescent="0.3">
      <c r="L117" s="136"/>
      <c r="M117" s="136"/>
      <c r="N117" s="136"/>
      <c r="O117" s="136"/>
      <c r="W117" s="98"/>
      <c r="X117" s="98"/>
      <c r="Y117" s="72"/>
      <c r="Z117" s="132"/>
    </row>
    <row r="118" spans="12:26" ht="14.25" customHeight="1" x14ac:dyDescent="0.3">
      <c r="L118" s="136"/>
      <c r="M118" s="136"/>
      <c r="N118" s="136"/>
      <c r="O118" s="136"/>
      <c r="Z118" s="138"/>
    </row>
    <row r="119" spans="12:26" ht="14.25" customHeight="1" x14ac:dyDescent="0.3">
      <c r="L119" s="136"/>
      <c r="M119" s="136"/>
      <c r="N119" s="136"/>
      <c r="O119" s="136"/>
    </row>
    <row r="120" spans="12:26" ht="14.25" customHeight="1" x14ac:dyDescent="0.3">
      <c r="L120" s="136"/>
      <c r="M120" s="136"/>
      <c r="N120" s="136"/>
      <c r="O120" s="136"/>
    </row>
    <row r="121" spans="12:26" ht="14.25" customHeight="1" x14ac:dyDescent="0.3">
      <c r="L121" s="136"/>
      <c r="M121" s="136"/>
      <c r="N121" s="136"/>
      <c r="O121" s="136"/>
    </row>
    <row r="122" spans="12:26" ht="14.25" customHeight="1" x14ac:dyDescent="0.3">
      <c r="L122" s="136"/>
      <c r="M122" s="136"/>
      <c r="N122" s="136"/>
      <c r="O122" s="136"/>
    </row>
    <row r="123" spans="12:26" ht="14.25" customHeight="1" x14ac:dyDescent="0.3">
      <c r="L123" s="136"/>
      <c r="M123" s="136"/>
      <c r="N123" s="136"/>
      <c r="O123" s="136"/>
    </row>
    <row r="124" spans="12:26" ht="14.25" customHeight="1" x14ac:dyDescent="0.3">
      <c r="L124" s="136"/>
      <c r="M124" s="136"/>
      <c r="N124" s="136"/>
      <c r="O124" s="136"/>
    </row>
    <row r="125" spans="12:26" ht="14.25" customHeight="1" x14ac:dyDescent="0.3">
      <c r="L125" s="136"/>
      <c r="M125" s="136"/>
      <c r="N125" s="136"/>
      <c r="O125" s="136"/>
    </row>
    <row r="126" spans="12:26" ht="14.25" customHeight="1" x14ac:dyDescent="0.3">
      <c r="L126" s="136"/>
      <c r="M126" s="136"/>
      <c r="N126" s="136"/>
      <c r="O126" s="136"/>
    </row>
    <row r="127" spans="12:26" ht="14.25" customHeight="1" x14ac:dyDescent="0.3">
      <c r="L127" s="136"/>
      <c r="M127" s="136"/>
      <c r="N127" s="136"/>
      <c r="O127" s="136"/>
    </row>
    <row r="128" spans="12:26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honeticPr fontId="21" type="noConversion"/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12C1-EE1D-44F2-9068-769B3F41AC9F}">
  <sheetPr codeName="Sheet59"/>
  <dimension ref="A1:R1000"/>
  <sheetViews>
    <sheetView topLeftCell="A7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75" customWidth="1"/>
    <col min="18" max="18" width="5.4140625" bestFit="1" customWidth="1"/>
    <col min="19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504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535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505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527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506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507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7" t="s">
        <v>508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536</v>
      </c>
      <c r="O17" s="10"/>
      <c r="Q17" s="10"/>
    </row>
    <row r="18" spans="1:18" ht="14.25" customHeight="1" x14ac:dyDescent="0.35">
      <c r="A18" s="10" t="s">
        <v>27</v>
      </c>
      <c r="B18" s="10" t="s">
        <v>7</v>
      </c>
      <c r="C18" s="7" t="s">
        <v>509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7" t="s">
        <v>510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18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71"/>
      <c r="R22" s="66"/>
    </row>
    <row r="23" spans="1:18" ht="14.25" customHeight="1" x14ac:dyDescent="0.35">
      <c r="A23" s="76">
        <v>1</v>
      </c>
      <c r="B23" s="54"/>
      <c r="C23" s="10" t="s">
        <v>209</v>
      </c>
      <c r="D23" s="6"/>
      <c r="E23" s="6"/>
      <c r="F23" s="6"/>
      <c r="G23" s="6"/>
      <c r="H23" s="6"/>
      <c r="I23" s="20">
        <v>2</v>
      </c>
      <c r="J23" s="55" t="s">
        <v>49</v>
      </c>
      <c r="K23" s="10"/>
      <c r="L23" s="173">
        <v>225</v>
      </c>
      <c r="M23" s="78"/>
      <c r="N23" s="56"/>
      <c r="O23" s="78">
        <f>SUM(I23*L23)</f>
        <v>450</v>
      </c>
      <c r="Q23" s="79">
        <v>7.5</v>
      </c>
      <c r="R23" s="79"/>
    </row>
    <row r="24" spans="1:18" ht="14.25" customHeight="1" x14ac:dyDescent="0.35">
      <c r="A24" s="76"/>
      <c r="B24" s="54"/>
      <c r="C24" s="203"/>
      <c r="D24" s="6"/>
      <c r="E24" s="6"/>
      <c r="F24" s="6"/>
      <c r="G24" s="6"/>
      <c r="H24" s="6"/>
      <c r="I24" s="20"/>
      <c r="J24" s="55"/>
      <c r="K24" s="10"/>
      <c r="L24" s="173"/>
      <c r="M24" s="78"/>
      <c r="N24" s="56"/>
      <c r="O24" s="78"/>
      <c r="Q24" s="79">
        <v>7.3</v>
      </c>
      <c r="R24" s="79"/>
    </row>
    <row r="25" spans="1:18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21"/>
      <c r="K25" s="10"/>
      <c r="L25" s="173"/>
      <c r="M25" s="78"/>
      <c r="N25" s="56"/>
      <c r="O25" s="78"/>
      <c r="Q25" s="79">
        <v>12.9</v>
      </c>
      <c r="R25" s="79"/>
    </row>
    <row r="26" spans="1:18" ht="14.25" customHeight="1" x14ac:dyDescent="0.35">
      <c r="A26" s="76"/>
      <c r="B26" s="54"/>
      <c r="C26" s="6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  <c r="Q26" s="79"/>
    </row>
    <row r="27" spans="1:18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</row>
    <row r="28" spans="1:18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Q28" s="79"/>
    </row>
    <row r="29" spans="1:18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18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18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8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450</v>
      </c>
    </row>
    <row r="55" spans="1:15" ht="14.25" customHeight="1" x14ac:dyDescent="0.35">
      <c r="A55" s="51" t="s">
        <v>514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1AA1-5A15-4F9B-8E0D-DE987E138792}">
  <dimension ref="A1:AG1000"/>
  <sheetViews>
    <sheetView topLeftCell="A11" workbookViewId="0">
      <selection activeCell="Q26" sqref="Q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537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545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539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543</v>
      </c>
      <c r="D23" s="10"/>
      <c r="E23" s="10"/>
      <c r="F23" s="10"/>
      <c r="G23" s="10"/>
      <c r="H23" s="10"/>
      <c r="I23" s="54">
        <v>5</v>
      </c>
      <c r="J23" s="55" t="s">
        <v>49</v>
      </c>
      <c r="K23" s="10"/>
      <c r="L23" s="56">
        <v>284.89999999999998</v>
      </c>
      <c r="M23" s="78"/>
      <c r="N23" s="56"/>
      <c r="O23" s="78">
        <f>SUM(I23*L23)</f>
        <v>1424.5</v>
      </c>
      <c r="P23" s="79"/>
      <c r="Q23" s="79">
        <v>8.1999999999999993</v>
      </c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/>
      <c r="B24" s="54"/>
      <c r="C24" s="1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P24" s="79"/>
      <c r="Q24" s="79">
        <v>7.5</v>
      </c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/>
      <c r="B25" s="54"/>
      <c r="C25" s="15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1424.5</v>
      </c>
    </row>
    <row r="55" spans="1:15" ht="14.25" customHeight="1" x14ac:dyDescent="0.35">
      <c r="A55" s="10" t="s">
        <v>544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D4E2-D736-4009-8BF5-1C9C64812945}">
  <dimension ref="A1:R1000"/>
  <sheetViews>
    <sheetView topLeftCell="A16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9.75" bestFit="1" customWidth="1"/>
    <col min="18" max="18" width="7.4140625" bestFit="1" customWidth="1"/>
    <col min="19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405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540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407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538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409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541</v>
      </c>
      <c r="O17" s="10"/>
      <c r="Q17" s="10"/>
    </row>
    <row r="18" spans="1:18" ht="14.25" customHeight="1" x14ac:dyDescent="0.35">
      <c r="A18" s="10" t="s">
        <v>27</v>
      </c>
      <c r="B18" s="10" t="s">
        <v>7</v>
      </c>
      <c r="C18" s="7" t="s">
        <v>411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10" t="s">
        <v>412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18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02" t="s">
        <v>34</v>
      </c>
      <c r="R22" s="66"/>
    </row>
    <row r="23" spans="1:18" ht="14.25" customHeight="1" x14ac:dyDescent="0.35">
      <c r="A23" s="76">
        <v>1</v>
      </c>
      <c r="B23" s="54"/>
      <c r="C23" s="48" t="s">
        <v>172</v>
      </c>
      <c r="D23" s="6"/>
      <c r="E23" s="6"/>
      <c r="F23" s="6"/>
      <c r="G23" s="6"/>
      <c r="H23" s="6"/>
      <c r="I23" s="20">
        <v>2</v>
      </c>
      <c r="J23" s="55" t="s">
        <v>49</v>
      </c>
      <c r="K23" s="10"/>
      <c r="L23" s="56">
        <v>219</v>
      </c>
      <c r="M23" s="78"/>
      <c r="N23" s="56"/>
      <c r="O23" s="78">
        <f>SUM(I23*L23)</f>
        <v>438</v>
      </c>
      <c r="Q23" s="174">
        <v>8.1</v>
      </c>
      <c r="R23" s="79"/>
    </row>
    <row r="24" spans="1:18" ht="14.25" customHeight="1" x14ac:dyDescent="0.35">
      <c r="A24" s="76"/>
      <c r="B24" s="54"/>
      <c r="C24" s="30"/>
      <c r="D24" s="6"/>
      <c r="E24" s="6"/>
      <c r="F24" s="6"/>
      <c r="G24" s="6"/>
      <c r="H24" s="6"/>
      <c r="I24" s="20"/>
      <c r="J24" s="55"/>
      <c r="K24" s="10"/>
      <c r="L24" s="56"/>
      <c r="M24" s="78"/>
      <c r="N24" s="56"/>
      <c r="O24" s="78"/>
      <c r="Q24" s="174">
        <v>7.3</v>
      </c>
      <c r="R24" s="79"/>
    </row>
    <row r="25" spans="1:18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Q25" s="188">
        <v>7.5</v>
      </c>
      <c r="R25" s="79"/>
    </row>
    <row r="26" spans="1:18" ht="14.25" customHeight="1" x14ac:dyDescent="0.35">
      <c r="A26" s="76"/>
      <c r="B26" s="54"/>
      <c r="C26" s="10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Q26" s="175">
        <v>120</v>
      </c>
      <c r="R26" s="79"/>
    </row>
    <row r="27" spans="1:18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175">
        <v>12.5</v>
      </c>
      <c r="R27" s="79"/>
    </row>
    <row r="28" spans="1:18" ht="14.25" customHeight="1" x14ac:dyDescent="0.35">
      <c r="A28" s="76"/>
      <c r="B28" s="54"/>
      <c r="C28" s="6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Q28" s="174">
        <v>60</v>
      </c>
      <c r="R28" s="79"/>
    </row>
    <row r="29" spans="1:18" ht="14.25" customHeight="1" x14ac:dyDescent="0.35">
      <c r="A29" s="76"/>
      <c r="B29" s="54"/>
      <c r="C29" s="33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Q29" s="174">
        <v>2.5</v>
      </c>
      <c r="R29" s="79"/>
    </row>
    <row r="30" spans="1:18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Q30" s="174"/>
      <c r="R30" s="79"/>
    </row>
    <row r="31" spans="1:18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Q31" s="174"/>
      <c r="R31" s="79"/>
    </row>
    <row r="32" spans="1:18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Q32" s="174"/>
      <c r="R32" s="79"/>
    </row>
    <row r="33" spans="1:18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Q33" s="174"/>
      <c r="R33" s="79"/>
    </row>
    <row r="34" spans="1:18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Q34" s="79"/>
    </row>
    <row r="35" spans="1:18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Q35" s="79"/>
    </row>
    <row r="36" spans="1:18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8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8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8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8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8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8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8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8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8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8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8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8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438</v>
      </c>
    </row>
    <row r="55" spans="1:15" ht="14.25" customHeight="1" x14ac:dyDescent="0.35">
      <c r="A55" s="10" t="s">
        <v>542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F625-E82F-4981-9BFA-5858242E8310}">
  <dimension ref="A1:AK1003"/>
  <sheetViews>
    <sheetView topLeftCell="A14" zoomScaleNormal="100" workbookViewId="0">
      <selection activeCell="R27" sqref="R27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8.58203125" customWidth="1"/>
    <col min="19" max="19" width="9.33203125" customWidth="1"/>
    <col min="20" max="20" width="7.4140625" customWidth="1"/>
    <col min="21" max="21" width="14.58203125" bestFit="1" customWidth="1"/>
    <col min="22" max="22" width="8.9140625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546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545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547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548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1800</v>
      </c>
      <c r="M23" s="78"/>
      <c r="N23" s="56"/>
      <c r="O23" s="78">
        <f>SUM(I23*L23)</f>
        <v>9000</v>
      </c>
      <c r="R23" s="79">
        <v>8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7" si="0">SUM(I24*L24)</f>
        <v>3219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U30" s="83" t="s">
        <v>13</v>
      </c>
      <c r="V30" s="83" t="s">
        <v>5</v>
      </c>
      <c r="W30" s="83" t="s">
        <v>132</v>
      </c>
      <c r="AA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U31" s="85" t="s">
        <v>484</v>
      </c>
      <c r="W31" s="204">
        <v>218387.7</v>
      </c>
      <c r="X31" s="86"/>
      <c r="Y31" s="86"/>
      <c r="Z31" s="200">
        <v>218387.69999999998</v>
      </c>
      <c r="AA31" s="201">
        <v>619828.4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U32" s="98">
        <v>46235</v>
      </c>
      <c r="V32" s="90" t="s">
        <v>485</v>
      </c>
      <c r="W32" s="146">
        <v>14763.2</v>
      </c>
      <c r="X32" s="127"/>
      <c r="Y32" s="127"/>
      <c r="Z32" s="190">
        <f>SUM(Z31+W32)</f>
        <v>233150.9</v>
      </c>
      <c r="AA32" s="191">
        <f>SUM(AA31+W32)</f>
        <v>634591.6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U33" s="93">
        <v>46238</v>
      </c>
      <c r="V33" s="94" t="s">
        <v>135</v>
      </c>
      <c r="W33" s="192">
        <v>-17000</v>
      </c>
      <c r="X33" s="192"/>
      <c r="Y33" s="192"/>
      <c r="Z33" s="190">
        <f t="shared" ref="Z33:Z50" si="1">SUM(Z32+W33)</f>
        <v>216150.9</v>
      </c>
      <c r="AA33" s="191">
        <f t="shared" ref="AA33:AA50" si="2">SUM(AA32+W33)</f>
        <v>617591.6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U34" s="91">
        <v>46239</v>
      </c>
      <c r="V34" s="90" t="s">
        <v>486</v>
      </c>
      <c r="W34" s="146">
        <v>16036</v>
      </c>
      <c r="X34" s="131"/>
      <c r="Y34" s="131"/>
      <c r="Z34" s="190">
        <f t="shared" si="1"/>
        <v>232186.9</v>
      </c>
      <c r="AA34" s="191">
        <f t="shared" si="2"/>
        <v>633627.6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U35" s="93">
        <v>46241</v>
      </c>
      <c r="V35" s="94" t="s">
        <v>135</v>
      </c>
      <c r="W35" s="193">
        <v>-15000</v>
      </c>
      <c r="X35" s="194"/>
      <c r="Y35" s="194"/>
      <c r="Z35" s="190">
        <f t="shared" si="1"/>
        <v>217186.9</v>
      </c>
      <c r="AA35" s="191">
        <f t="shared" si="2"/>
        <v>618627.6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U36" s="98">
        <v>46242</v>
      </c>
      <c r="V36" s="90" t="s">
        <v>487</v>
      </c>
      <c r="W36" s="195">
        <v>11837</v>
      </c>
      <c r="X36" s="127"/>
      <c r="Y36" s="127"/>
      <c r="Z36" s="190">
        <f t="shared" si="1"/>
        <v>229023.9</v>
      </c>
      <c r="AA36" s="191">
        <f t="shared" si="2"/>
        <v>630464.6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U37" s="93">
        <v>46244</v>
      </c>
      <c r="V37" s="94" t="s">
        <v>135</v>
      </c>
      <c r="W37" s="193">
        <v>-10000</v>
      </c>
      <c r="X37" s="193"/>
      <c r="Y37" s="193"/>
      <c r="Z37" s="190">
        <f t="shared" si="1"/>
        <v>219023.9</v>
      </c>
      <c r="AA37" s="191">
        <f t="shared" si="2"/>
        <v>620464.6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U38" s="98">
        <v>46245</v>
      </c>
      <c r="V38" s="90" t="s">
        <v>488</v>
      </c>
      <c r="W38" s="195">
        <v>8781</v>
      </c>
      <c r="X38" s="127"/>
      <c r="Y38" s="127"/>
      <c r="Z38" s="190">
        <f t="shared" si="1"/>
        <v>227804.9</v>
      </c>
      <c r="AA38" s="191">
        <f t="shared" si="2"/>
        <v>629245.6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U39" s="93">
        <v>46246</v>
      </c>
      <c r="V39" s="94" t="s">
        <v>135</v>
      </c>
      <c r="W39" s="193">
        <v>-10000</v>
      </c>
      <c r="X39" s="193"/>
      <c r="Y39" s="193"/>
      <c r="Z39" s="190">
        <f t="shared" si="1"/>
        <v>217804.9</v>
      </c>
      <c r="AA39" s="191">
        <f t="shared" si="2"/>
        <v>619245.6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U40" s="98">
        <v>46246</v>
      </c>
      <c r="V40" s="90" t="s">
        <v>489</v>
      </c>
      <c r="W40" s="195">
        <v>8781</v>
      </c>
      <c r="X40" s="93"/>
      <c r="Y40" s="93"/>
      <c r="Z40" s="190">
        <f t="shared" si="1"/>
        <v>226585.9</v>
      </c>
      <c r="AA40" s="191">
        <f t="shared" si="2"/>
        <v>628026.6</v>
      </c>
      <c r="AB40" s="96"/>
      <c r="AC40" s="105"/>
    </row>
    <row r="41" spans="1:32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U41" s="93">
        <v>46247</v>
      </c>
      <c r="V41" s="94" t="s">
        <v>135</v>
      </c>
      <c r="W41" s="193">
        <v>-15000</v>
      </c>
      <c r="X41" s="193"/>
      <c r="Y41" s="193"/>
      <c r="Z41" s="190">
        <f t="shared" si="1"/>
        <v>211585.9</v>
      </c>
      <c r="AA41" s="191">
        <f t="shared" si="2"/>
        <v>613026.6</v>
      </c>
      <c r="AB41" s="96"/>
      <c r="AC41" s="105"/>
    </row>
    <row r="42" spans="1:32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U42" s="98">
        <v>46247</v>
      </c>
      <c r="V42" s="90" t="s">
        <v>490</v>
      </c>
      <c r="W42" s="195">
        <v>13276</v>
      </c>
      <c r="X42" s="103"/>
      <c r="Y42" s="103"/>
      <c r="Z42" s="190">
        <f t="shared" si="1"/>
        <v>224861.9</v>
      </c>
      <c r="AA42" s="191">
        <f t="shared" si="2"/>
        <v>626302.6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U43" s="98">
        <v>46248</v>
      </c>
      <c r="V43" s="90" t="s">
        <v>491</v>
      </c>
      <c r="W43" s="195">
        <v>14889</v>
      </c>
      <c r="X43" s="98"/>
      <c r="Y43" s="98"/>
      <c r="Z43" s="190">
        <f t="shared" si="1"/>
        <v>239750.9</v>
      </c>
      <c r="AA43" s="191">
        <f t="shared" si="2"/>
        <v>641191.6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U44" s="98">
        <v>46252</v>
      </c>
      <c r="V44" s="90" t="s">
        <v>492</v>
      </c>
      <c r="W44" s="195">
        <v>14226</v>
      </c>
      <c r="X44" s="98"/>
      <c r="Y44" s="98"/>
      <c r="Z44" s="190">
        <f t="shared" si="1"/>
        <v>253976.9</v>
      </c>
      <c r="AA44" s="191">
        <f t="shared" si="2"/>
        <v>655417.59999999998</v>
      </c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U45" s="93">
        <v>46252</v>
      </c>
      <c r="V45" s="94" t="s">
        <v>135</v>
      </c>
      <c r="W45" s="193">
        <v>-15000</v>
      </c>
      <c r="X45" s="193"/>
      <c r="Y45" s="193"/>
      <c r="Z45" s="190">
        <f t="shared" si="1"/>
        <v>238976.9</v>
      </c>
      <c r="AA45" s="191">
        <f t="shared" si="2"/>
        <v>640417.6</v>
      </c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U46" s="98">
        <v>46255</v>
      </c>
      <c r="V46" s="90" t="s">
        <v>493</v>
      </c>
      <c r="W46" s="146">
        <v>14885</v>
      </c>
      <c r="X46" s="98"/>
      <c r="Y46" s="98"/>
      <c r="Z46" s="190">
        <f t="shared" si="1"/>
        <v>253861.9</v>
      </c>
      <c r="AA46" s="191">
        <f t="shared" si="2"/>
        <v>655302.6</v>
      </c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U47" s="93">
        <v>46258</v>
      </c>
      <c r="V47" s="94" t="s">
        <v>135</v>
      </c>
      <c r="W47" s="193">
        <v>-18000</v>
      </c>
      <c r="X47" s="98"/>
      <c r="Y47" s="98"/>
      <c r="Z47" s="190">
        <f t="shared" si="1"/>
        <v>235861.9</v>
      </c>
      <c r="AA47" s="191">
        <f t="shared" si="2"/>
        <v>637302.6</v>
      </c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U48" s="98">
        <v>46258</v>
      </c>
      <c r="V48" s="90" t="s">
        <v>498</v>
      </c>
      <c r="W48" s="146">
        <v>14885</v>
      </c>
      <c r="X48" s="197">
        <f>SUM(X32:X46)</f>
        <v>0</v>
      </c>
      <c r="Y48" s="197"/>
      <c r="Z48" s="190">
        <f t="shared" si="1"/>
        <v>250746.9</v>
      </c>
      <c r="AA48" s="191">
        <f t="shared" si="2"/>
        <v>652187.6</v>
      </c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U49" s="93">
        <v>46260</v>
      </c>
      <c r="V49" s="94" t="s">
        <v>135</v>
      </c>
      <c r="W49" s="193">
        <v>-15000</v>
      </c>
      <c r="X49" s="98"/>
      <c r="Y49" s="98"/>
      <c r="Z49" s="190">
        <f t="shared" si="1"/>
        <v>235746.9</v>
      </c>
      <c r="AA49" s="191">
        <f>SUM(AA48+W49)</f>
        <v>637187.6</v>
      </c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U50" s="98">
        <v>46261</v>
      </c>
      <c r="V50" s="90" t="s">
        <v>533</v>
      </c>
      <c r="W50" s="146">
        <v>13885</v>
      </c>
      <c r="X50" s="98"/>
      <c r="Y50" s="98"/>
      <c r="Z50" s="190">
        <f t="shared" si="1"/>
        <v>249631.9</v>
      </c>
      <c r="AA50" s="191">
        <f t="shared" si="2"/>
        <v>651072.6</v>
      </c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U51" s="98">
        <v>46263</v>
      </c>
      <c r="V51" s="90" t="s">
        <v>534</v>
      </c>
      <c r="W51" s="146">
        <v>13885</v>
      </c>
      <c r="X51" s="98"/>
      <c r="Y51" s="98"/>
      <c r="Z51" s="190">
        <f>SUM(Z50+W51)</f>
        <v>263516.90000000002</v>
      </c>
      <c r="AA51" s="191">
        <f>SUM(AA50+W51)</f>
        <v>664957.6</v>
      </c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U52" s="93">
        <v>46263</v>
      </c>
      <c r="V52" s="94" t="s">
        <v>135</v>
      </c>
      <c r="W52" s="193">
        <v>-14000</v>
      </c>
      <c r="X52" s="98"/>
      <c r="Y52" s="98"/>
      <c r="Z52" s="190">
        <f>SUM(Z51+W52)</f>
        <v>249516.90000000002</v>
      </c>
      <c r="AA52" s="191">
        <f>SUM(AA51+W52)</f>
        <v>650957.6</v>
      </c>
      <c r="AB52" s="96"/>
      <c r="AC52" s="105"/>
    </row>
    <row r="53" spans="1:31" ht="14.25" customHeight="1" thickBot="1" x14ac:dyDescent="0.4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U53" s="206"/>
      <c r="V53" s="207"/>
      <c r="W53" s="118">
        <f>SUM(W31:W52)</f>
        <v>249516.90000000002</v>
      </c>
      <c r="X53" s="210"/>
      <c r="Y53" s="210"/>
      <c r="Z53" s="211"/>
      <c r="AA53" s="119"/>
      <c r="AB53" s="91"/>
      <c r="AC53" s="105"/>
    </row>
    <row r="54" spans="1:31" ht="14.25" customHeight="1" thickTop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15385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553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L69" s="136"/>
      <c r="M69" s="136"/>
      <c r="N69" s="136"/>
      <c r="O69" s="136"/>
    </row>
    <row r="70" spans="1:30" ht="14.25" customHeight="1" x14ac:dyDescent="0.3">
      <c r="L70" s="136"/>
      <c r="M70" s="136"/>
      <c r="N70" s="136"/>
      <c r="O70" s="136"/>
    </row>
    <row r="71" spans="1:30" ht="14.25" customHeight="1" x14ac:dyDescent="0.3">
      <c r="L71" s="136"/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0BDD-BF41-455F-AA1E-42EA519430EC}">
  <dimension ref="A1:AE1000"/>
  <sheetViews>
    <sheetView topLeftCell="A8" workbookViewId="0">
      <selection activeCell="Q26" sqref="Q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5.4140625" bestFit="1" customWidth="1"/>
    <col min="18" max="18" width="6.5" customWidth="1"/>
    <col min="19" max="19" width="8.25" customWidth="1"/>
    <col min="20" max="20" width="9.6640625" customWidth="1"/>
    <col min="21" max="21" width="8.08203125" customWidth="1"/>
    <col min="22" max="22" width="6.9140625" customWidth="1"/>
    <col min="23" max="23" width="7" customWidth="1"/>
    <col min="24" max="24" width="7.33203125" customWidth="1"/>
    <col min="25" max="25" width="8.33203125" customWidth="1"/>
    <col min="26" max="26" width="6.33203125" customWidth="1"/>
    <col min="27" max="27" width="7.9140625" customWidth="1"/>
    <col min="28" max="28" width="6.75" customWidth="1"/>
    <col min="29" max="29" width="7.75" customWidth="1"/>
    <col min="30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549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550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551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548</v>
      </c>
      <c r="R22" s="187" t="s">
        <v>403</v>
      </c>
      <c r="S22" s="72" t="s">
        <v>36</v>
      </c>
      <c r="T22" s="72" t="s">
        <v>163</v>
      </c>
      <c r="U22" s="72" t="s">
        <v>38</v>
      </c>
      <c r="V22" s="72" t="s">
        <v>101</v>
      </c>
      <c r="W22" s="72" t="s">
        <v>164</v>
      </c>
      <c r="X22" s="72" t="s">
        <v>117</v>
      </c>
      <c r="Y22" s="72" t="s">
        <v>40</v>
      </c>
      <c r="Z22" s="72" t="s">
        <v>165</v>
      </c>
      <c r="AB22" t="s">
        <v>45</v>
      </c>
      <c r="AC22" t="s">
        <v>166</v>
      </c>
    </row>
    <row r="23" spans="1:31" ht="14.25" customHeight="1" x14ac:dyDescent="0.35">
      <c r="A23" s="76">
        <v>1</v>
      </c>
      <c r="B23" s="54"/>
      <c r="C23" s="30" t="s">
        <v>79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1777.5</v>
      </c>
      <c r="M23" s="78"/>
      <c r="N23" s="56"/>
      <c r="O23" s="78">
        <f>SUM(I23*L23)</f>
        <v>1777.5</v>
      </c>
      <c r="Q23" s="79">
        <v>7.9</v>
      </c>
      <c r="R23" s="79">
        <v>7.7</v>
      </c>
      <c r="S23" s="79">
        <v>8.1</v>
      </c>
      <c r="T23" s="79">
        <v>8.5</v>
      </c>
      <c r="U23" s="79">
        <v>8.5</v>
      </c>
      <c r="V23" s="79">
        <v>8.1</v>
      </c>
      <c r="W23" s="79">
        <v>7.5</v>
      </c>
      <c r="X23" s="79">
        <v>7.5</v>
      </c>
      <c r="Y23" s="79">
        <v>7.6</v>
      </c>
      <c r="AA23" s="79">
        <v>7.9</v>
      </c>
      <c r="AB23" s="79">
        <v>8</v>
      </c>
      <c r="AC23" s="79">
        <v>7.9</v>
      </c>
      <c r="AD23" s="79">
        <v>8.3000000000000007</v>
      </c>
      <c r="AE23" s="79">
        <v>8.5</v>
      </c>
    </row>
    <row r="24" spans="1:31" ht="14.25" customHeight="1" x14ac:dyDescent="0.35">
      <c r="A24" s="76">
        <v>2</v>
      </c>
      <c r="B24" s="54"/>
      <c r="C24" s="30" t="s">
        <v>129</v>
      </c>
      <c r="D24" s="10"/>
      <c r="E24" s="10"/>
      <c r="F24" s="10"/>
      <c r="G24" s="10"/>
      <c r="H24" s="10"/>
      <c r="I24" s="54">
        <v>3</v>
      </c>
      <c r="J24" s="55" t="s">
        <v>49</v>
      </c>
      <c r="K24" s="10"/>
      <c r="L24" s="56">
        <v>247.5</v>
      </c>
      <c r="M24" s="78"/>
      <c r="N24" s="56"/>
      <c r="O24" s="78">
        <f t="shared" ref="O24:O25" si="0">SUM(I24*L24)</f>
        <v>742.5</v>
      </c>
      <c r="R24" s="79">
        <v>6.9</v>
      </c>
      <c r="T24" s="79">
        <v>7.5</v>
      </c>
      <c r="U24" s="79"/>
      <c r="Y24" s="79">
        <v>7.3</v>
      </c>
      <c r="AC24" s="79"/>
    </row>
    <row r="25" spans="1:31" ht="14.25" customHeight="1" x14ac:dyDescent="0.35">
      <c r="A25" s="76">
        <v>3</v>
      </c>
      <c r="B25" s="54"/>
      <c r="C25" s="10" t="s">
        <v>81</v>
      </c>
      <c r="D25" s="6"/>
      <c r="E25" s="6"/>
      <c r="F25" s="6"/>
      <c r="G25" s="6"/>
      <c r="H25" s="6"/>
      <c r="I25" s="20">
        <v>1</v>
      </c>
      <c r="J25" s="55" t="s">
        <v>55</v>
      </c>
      <c r="K25" s="10"/>
      <c r="L25" s="56">
        <v>297</v>
      </c>
      <c r="M25" s="78"/>
      <c r="N25" s="56"/>
      <c r="O25" s="78">
        <f t="shared" si="0"/>
        <v>297</v>
      </c>
      <c r="R25" s="79">
        <v>5.5</v>
      </c>
      <c r="S25" s="79">
        <v>5.8</v>
      </c>
      <c r="U25" s="79"/>
      <c r="W25" s="79"/>
      <c r="Y25" s="79"/>
      <c r="Z25" s="79"/>
      <c r="AC25" s="79"/>
    </row>
    <row r="26" spans="1:31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31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>
        <v>13.5</v>
      </c>
      <c r="U27" s="79">
        <v>14</v>
      </c>
      <c r="W27" s="79"/>
      <c r="Y27" s="79"/>
      <c r="Z27" s="79">
        <v>13</v>
      </c>
      <c r="AC27" s="79"/>
    </row>
    <row r="28" spans="1:31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U28" s="79"/>
      <c r="W28">
        <v>32</v>
      </c>
      <c r="AC28" s="79"/>
    </row>
    <row r="29" spans="1:31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9"/>
      <c r="W29" s="79"/>
      <c r="AC29" s="79">
        <v>31</v>
      </c>
    </row>
    <row r="30" spans="1:31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Z30" s="79"/>
      <c r="AA30" s="79"/>
    </row>
    <row r="31" spans="1:31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1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2817</v>
      </c>
    </row>
    <row r="55" spans="1:15" ht="14.25" customHeight="1" x14ac:dyDescent="0.35">
      <c r="A55" s="10" t="s">
        <v>552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95CC-0461-4B27-B502-1F3239D49E27}">
  <dimension ref="A1:AK1003"/>
  <sheetViews>
    <sheetView topLeftCell="A19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8.58203125" customWidth="1"/>
    <col min="19" max="19" width="9.33203125" customWidth="1"/>
    <col min="20" max="20" width="7.4140625" customWidth="1"/>
    <col min="21" max="21" width="14.58203125" bestFit="1" customWidth="1"/>
    <col min="22" max="22" width="8.9140625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554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555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556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548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4</v>
      </c>
      <c r="J23" s="55" t="s">
        <v>47</v>
      </c>
      <c r="K23" s="10"/>
      <c r="L23" s="77">
        <v>1800</v>
      </c>
      <c r="M23" s="78"/>
      <c r="N23" s="56"/>
      <c r="O23" s="78">
        <f>SUM(I23*L23)</f>
        <v>7200</v>
      </c>
      <c r="R23" s="79" t="s">
        <v>559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558</v>
      </c>
      <c r="D24" s="6"/>
      <c r="E24" s="6"/>
      <c r="F24" s="6"/>
      <c r="G24" s="6"/>
      <c r="H24" s="6"/>
      <c r="I24" s="20">
        <v>1</v>
      </c>
      <c r="J24" s="55" t="s">
        <v>47</v>
      </c>
      <c r="K24" s="10"/>
      <c r="L24" s="77">
        <v>1755</v>
      </c>
      <c r="M24" s="78"/>
      <c r="N24" s="56"/>
      <c r="O24" s="78">
        <f t="shared" ref="O24:O27" si="0">SUM(I24*L24)</f>
        <v>1755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557</v>
      </c>
      <c r="D25" s="6"/>
      <c r="E25" s="6"/>
      <c r="F25" s="6"/>
      <c r="G25" s="6"/>
      <c r="H25" s="6"/>
      <c r="I25" s="20">
        <v>14</v>
      </c>
      <c r="J25" s="55" t="s">
        <v>49</v>
      </c>
      <c r="K25" s="10"/>
      <c r="L25" s="77">
        <v>214.6</v>
      </c>
      <c r="M25" s="78"/>
      <c r="N25" s="56"/>
      <c r="O25" s="78">
        <f t="shared" si="0"/>
        <v>3004.4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82" t="s">
        <v>129</v>
      </c>
      <c r="D26" s="6"/>
      <c r="E26" s="6"/>
      <c r="F26" s="6"/>
      <c r="G26" s="6"/>
      <c r="H26" s="6"/>
      <c r="I26" s="20">
        <v>8</v>
      </c>
      <c r="J26" s="55" t="s">
        <v>49</v>
      </c>
      <c r="K26" s="10"/>
      <c r="L26" s="56">
        <v>207</v>
      </c>
      <c r="M26" s="78"/>
      <c r="N26" s="56"/>
      <c r="O26" s="78">
        <f t="shared" si="0"/>
        <v>1656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U30" s="83" t="s">
        <v>13</v>
      </c>
      <c r="V30" s="83" t="s">
        <v>5</v>
      </c>
      <c r="W30" s="83" t="s">
        <v>132</v>
      </c>
      <c r="AA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U31" s="85" t="s">
        <v>484</v>
      </c>
      <c r="W31" s="204">
        <v>218387.7</v>
      </c>
      <c r="X31" s="86"/>
      <c r="Y31" s="86"/>
      <c r="Z31" s="200">
        <v>218387.69999999998</v>
      </c>
      <c r="AA31" s="201">
        <v>619828.4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U32" s="98">
        <v>46235</v>
      </c>
      <c r="V32" s="90" t="s">
        <v>485</v>
      </c>
      <c r="W32" s="146">
        <v>14763.2</v>
      </c>
      <c r="X32" s="127"/>
      <c r="Y32" s="127"/>
      <c r="Z32" s="190">
        <f>SUM(Z31+W32)</f>
        <v>233150.9</v>
      </c>
      <c r="AA32" s="191">
        <f>SUM(AA31+W32)</f>
        <v>634591.6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U33" s="93">
        <v>46238</v>
      </c>
      <c r="V33" s="94" t="s">
        <v>135</v>
      </c>
      <c r="W33" s="192">
        <v>-17000</v>
      </c>
      <c r="X33" s="192"/>
      <c r="Y33" s="192"/>
      <c r="Z33" s="190">
        <f t="shared" ref="Z33:Z50" si="1">SUM(Z32+W33)</f>
        <v>216150.9</v>
      </c>
      <c r="AA33" s="191">
        <f t="shared" ref="AA33:AA50" si="2">SUM(AA32+W33)</f>
        <v>617591.6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U34" s="91">
        <v>46239</v>
      </c>
      <c r="V34" s="90" t="s">
        <v>486</v>
      </c>
      <c r="W34" s="146">
        <v>16036</v>
      </c>
      <c r="X34" s="131"/>
      <c r="Y34" s="131"/>
      <c r="Z34" s="190">
        <f t="shared" si="1"/>
        <v>232186.9</v>
      </c>
      <c r="AA34" s="191">
        <f t="shared" si="2"/>
        <v>633627.6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U35" s="93">
        <v>46241</v>
      </c>
      <c r="V35" s="94" t="s">
        <v>135</v>
      </c>
      <c r="W35" s="193">
        <v>-15000</v>
      </c>
      <c r="X35" s="194"/>
      <c r="Y35" s="194"/>
      <c r="Z35" s="190">
        <f t="shared" si="1"/>
        <v>217186.9</v>
      </c>
      <c r="AA35" s="191">
        <f t="shared" si="2"/>
        <v>618627.6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U36" s="98">
        <v>46242</v>
      </c>
      <c r="V36" s="90" t="s">
        <v>487</v>
      </c>
      <c r="W36" s="195">
        <v>11837</v>
      </c>
      <c r="X36" s="127"/>
      <c r="Y36" s="127"/>
      <c r="Z36" s="190">
        <f t="shared" si="1"/>
        <v>229023.9</v>
      </c>
      <c r="AA36" s="191">
        <f t="shared" si="2"/>
        <v>630464.6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U37" s="93">
        <v>46244</v>
      </c>
      <c r="V37" s="94" t="s">
        <v>135</v>
      </c>
      <c r="W37" s="193">
        <v>-10000</v>
      </c>
      <c r="X37" s="193"/>
      <c r="Y37" s="193"/>
      <c r="Z37" s="190">
        <f t="shared" si="1"/>
        <v>219023.9</v>
      </c>
      <c r="AA37" s="191">
        <f t="shared" si="2"/>
        <v>620464.6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U38" s="98">
        <v>46245</v>
      </c>
      <c r="V38" s="90" t="s">
        <v>488</v>
      </c>
      <c r="W38" s="195">
        <v>8781</v>
      </c>
      <c r="X38" s="127"/>
      <c r="Y38" s="127"/>
      <c r="Z38" s="190">
        <f t="shared" si="1"/>
        <v>227804.9</v>
      </c>
      <c r="AA38" s="191">
        <f t="shared" si="2"/>
        <v>629245.6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U39" s="93">
        <v>46246</v>
      </c>
      <c r="V39" s="94" t="s">
        <v>135</v>
      </c>
      <c r="W39" s="193">
        <v>-10000</v>
      </c>
      <c r="X39" s="193"/>
      <c r="Y39" s="193"/>
      <c r="Z39" s="190">
        <f t="shared" si="1"/>
        <v>217804.9</v>
      </c>
      <c r="AA39" s="191">
        <f t="shared" si="2"/>
        <v>619245.6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U40" s="98">
        <v>46246</v>
      </c>
      <c r="V40" s="90" t="s">
        <v>489</v>
      </c>
      <c r="W40" s="195">
        <v>8781</v>
      </c>
      <c r="X40" s="93"/>
      <c r="Y40" s="93"/>
      <c r="Z40" s="190">
        <f t="shared" si="1"/>
        <v>226585.9</v>
      </c>
      <c r="AA40" s="191">
        <f t="shared" si="2"/>
        <v>628026.6</v>
      </c>
      <c r="AB40" s="96"/>
      <c r="AC40" s="105"/>
    </row>
    <row r="41" spans="1:32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U41" s="93">
        <v>46247</v>
      </c>
      <c r="V41" s="94" t="s">
        <v>135</v>
      </c>
      <c r="W41" s="193">
        <v>-15000</v>
      </c>
      <c r="X41" s="193"/>
      <c r="Y41" s="193"/>
      <c r="Z41" s="190">
        <f t="shared" si="1"/>
        <v>211585.9</v>
      </c>
      <c r="AA41" s="191">
        <f t="shared" si="2"/>
        <v>613026.6</v>
      </c>
      <c r="AB41" s="96"/>
      <c r="AC41" s="105"/>
    </row>
    <row r="42" spans="1:32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U42" s="98">
        <v>46247</v>
      </c>
      <c r="V42" s="90" t="s">
        <v>490</v>
      </c>
      <c r="W42" s="195">
        <v>13276</v>
      </c>
      <c r="X42" s="103"/>
      <c r="Y42" s="103"/>
      <c r="Z42" s="190">
        <f t="shared" si="1"/>
        <v>224861.9</v>
      </c>
      <c r="AA42" s="191">
        <f t="shared" si="2"/>
        <v>626302.6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U43" s="98">
        <v>46248</v>
      </c>
      <c r="V43" s="90" t="s">
        <v>491</v>
      </c>
      <c r="W43" s="195">
        <v>14889</v>
      </c>
      <c r="X43" s="98"/>
      <c r="Y43" s="98"/>
      <c r="Z43" s="190">
        <f t="shared" si="1"/>
        <v>239750.9</v>
      </c>
      <c r="AA43" s="191">
        <f t="shared" si="2"/>
        <v>641191.6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U44" s="98">
        <v>46252</v>
      </c>
      <c r="V44" s="90" t="s">
        <v>492</v>
      </c>
      <c r="W44" s="195">
        <v>14226</v>
      </c>
      <c r="X44" s="98"/>
      <c r="Y44" s="98"/>
      <c r="Z44" s="190">
        <f t="shared" si="1"/>
        <v>253976.9</v>
      </c>
      <c r="AA44" s="191">
        <f t="shared" si="2"/>
        <v>655417.59999999998</v>
      </c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U45" s="93">
        <v>46252</v>
      </c>
      <c r="V45" s="94" t="s">
        <v>135</v>
      </c>
      <c r="W45" s="193">
        <v>-15000</v>
      </c>
      <c r="X45" s="193"/>
      <c r="Y45" s="193"/>
      <c r="Z45" s="190">
        <f t="shared" si="1"/>
        <v>238976.9</v>
      </c>
      <c r="AA45" s="191">
        <f t="shared" si="2"/>
        <v>640417.6</v>
      </c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U46" s="98">
        <v>46255</v>
      </c>
      <c r="V46" s="90" t="s">
        <v>493</v>
      </c>
      <c r="W46" s="146">
        <v>14885</v>
      </c>
      <c r="X46" s="98"/>
      <c r="Y46" s="98"/>
      <c r="Z46" s="190">
        <f t="shared" si="1"/>
        <v>253861.9</v>
      </c>
      <c r="AA46" s="191">
        <f t="shared" si="2"/>
        <v>655302.6</v>
      </c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U47" s="93">
        <v>46258</v>
      </c>
      <c r="V47" s="94" t="s">
        <v>135</v>
      </c>
      <c r="W47" s="193">
        <v>-18000</v>
      </c>
      <c r="X47" s="98"/>
      <c r="Y47" s="98"/>
      <c r="Z47" s="190">
        <f t="shared" si="1"/>
        <v>235861.9</v>
      </c>
      <c r="AA47" s="191">
        <f t="shared" si="2"/>
        <v>637302.6</v>
      </c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U48" s="98">
        <v>46258</v>
      </c>
      <c r="V48" s="90" t="s">
        <v>498</v>
      </c>
      <c r="W48" s="146">
        <v>14885</v>
      </c>
      <c r="X48" s="197">
        <f>SUM(X32:X46)</f>
        <v>0</v>
      </c>
      <c r="Y48" s="197"/>
      <c r="Z48" s="190">
        <f t="shared" si="1"/>
        <v>250746.9</v>
      </c>
      <c r="AA48" s="191">
        <f t="shared" si="2"/>
        <v>652187.6</v>
      </c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U49" s="93">
        <v>46260</v>
      </c>
      <c r="V49" s="94" t="s">
        <v>135</v>
      </c>
      <c r="W49" s="193">
        <v>-15000</v>
      </c>
      <c r="X49" s="98"/>
      <c r="Y49" s="98"/>
      <c r="Z49" s="190">
        <f t="shared" si="1"/>
        <v>235746.9</v>
      </c>
      <c r="AA49" s="191">
        <f>SUM(AA48+W49)</f>
        <v>637187.6</v>
      </c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U50" s="98">
        <v>46261</v>
      </c>
      <c r="V50" s="90" t="s">
        <v>533</v>
      </c>
      <c r="W50" s="146">
        <v>13885</v>
      </c>
      <c r="X50" s="98"/>
      <c r="Y50" s="98"/>
      <c r="Z50" s="190">
        <f t="shared" si="1"/>
        <v>249631.9</v>
      </c>
      <c r="AA50" s="191">
        <f t="shared" si="2"/>
        <v>651072.6</v>
      </c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U51" s="98">
        <v>46263</v>
      </c>
      <c r="V51" s="90" t="s">
        <v>534</v>
      </c>
      <c r="W51" s="146">
        <v>13885</v>
      </c>
      <c r="X51" s="98"/>
      <c r="Y51" s="98"/>
      <c r="Z51" s="190">
        <f>SUM(Z50+W51)</f>
        <v>263516.90000000002</v>
      </c>
      <c r="AA51" s="191">
        <f>SUM(AA50+W51)</f>
        <v>664957.6</v>
      </c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U52" s="93">
        <v>46263</v>
      </c>
      <c r="V52" s="94" t="s">
        <v>135</v>
      </c>
      <c r="W52" s="193">
        <v>-14000</v>
      </c>
      <c r="X52" s="98"/>
      <c r="Y52" s="98"/>
      <c r="Z52" s="190">
        <f>SUM(Z51+W52)</f>
        <v>249516.90000000002</v>
      </c>
      <c r="AA52" s="191">
        <f>SUM(AA51+W52)</f>
        <v>650957.6</v>
      </c>
      <c r="AB52" s="96"/>
      <c r="AC52" s="105"/>
    </row>
    <row r="53" spans="1:31" ht="14.25" customHeight="1" thickBot="1" x14ac:dyDescent="0.4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U53" s="206"/>
      <c r="V53" s="207"/>
      <c r="W53" s="118">
        <f>SUM(W31:W52)</f>
        <v>249516.90000000002</v>
      </c>
      <c r="X53" s="210"/>
      <c r="Y53" s="210"/>
      <c r="Z53" s="211"/>
      <c r="AA53" s="119"/>
      <c r="AB53" s="91"/>
      <c r="AC53" s="105"/>
    </row>
    <row r="54" spans="1:31" ht="14.25" customHeight="1" thickTop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14665.4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560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L69" s="136"/>
      <c r="M69" s="136"/>
      <c r="N69" s="136"/>
      <c r="O69" s="136"/>
    </row>
    <row r="70" spans="1:30" ht="14.25" customHeight="1" x14ac:dyDescent="0.3">
      <c r="L70" s="136"/>
      <c r="M70" s="136"/>
      <c r="N70" s="136"/>
      <c r="O70" s="136"/>
    </row>
    <row r="71" spans="1:30" ht="14.25" customHeight="1" x14ac:dyDescent="0.3">
      <c r="L71" s="136"/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A353-88DD-4163-A935-E5AF2BB40BF1}">
  <dimension ref="A1:S1000"/>
  <sheetViews>
    <sheetView tabSelected="1" topLeftCell="A45" workbookViewId="0">
      <selection activeCell="Q55" sqref="Q55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1640625" customWidth="1"/>
    <col min="18" max="18" width="6.08203125" customWidth="1"/>
    <col min="19" max="19" width="7.75" style="66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18" t="s">
        <v>5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392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561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562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9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563</v>
      </c>
      <c r="O17" s="10"/>
      <c r="S17" s="64"/>
    </row>
    <row r="18" spans="1:19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19" t="s">
        <v>32</v>
      </c>
      <c r="C21" s="219"/>
      <c r="D21" s="219"/>
      <c r="E21" s="219"/>
      <c r="F21" s="219"/>
      <c r="G21" s="219"/>
      <c r="H21" s="219"/>
      <c r="I21" s="220" t="s">
        <v>33</v>
      </c>
      <c r="J21" s="220"/>
      <c r="K21" s="68"/>
      <c r="L21" s="69" t="s">
        <v>34</v>
      </c>
      <c r="M21" s="70"/>
      <c r="N21" s="220" t="s">
        <v>35</v>
      </c>
      <c r="O21" s="220"/>
      <c r="S21" s="183" t="s">
        <v>402</v>
      </c>
    </row>
    <row r="22" spans="1:19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548</v>
      </c>
      <c r="R22" s="72" t="s">
        <v>403</v>
      </c>
      <c r="S22" s="72" t="s">
        <v>163</v>
      </c>
    </row>
    <row r="23" spans="1:19" ht="14.25" customHeight="1" x14ac:dyDescent="0.35">
      <c r="A23" s="76">
        <v>1</v>
      </c>
      <c r="B23" s="54"/>
      <c r="C23" s="10" t="s">
        <v>46</v>
      </c>
      <c r="D23" s="6"/>
      <c r="E23" s="6"/>
      <c r="F23" s="6"/>
      <c r="G23" s="6"/>
      <c r="H23" s="6"/>
      <c r="I23" s="20">
        <v>6</v>
      </c>
      <c r="J23" s="21" t="s">
        <v>47</v>
      </c>
      <c r="K23" s="6"/>
      <c r="L23" s="173">
        <v>1845</v>
      </c>
      <c r="M23" s="78"/>
      <c r="N23" s="56"/>
      <c r="O23" s="78">
        <f>SUM(I23*L23)</f>
        <v>11070</v>
      </c>
      <c r="Q23" s="79">
        <v>8.1999999999999993</v>
      </c>
      <c r="R23" s="79">
        <v>8.1</v>
      </c>
      <c r="S23" s="80">
        <v>8.6999999999999993</v>
      </c>
    </row>
    <row r="24" spans="1:19" ht="14.25" customHeight="1" x14ac:dyDescent="0.35">
      <c r="A24" s="76">
        <v>2</v>
      </c>
      <c r="B24" s="54"/>
      <c r="C24" s="10" t="s">
        <v>209</v>
      </c>
      <c r="D24" s="6"/>
      <c r="E24" s="6"/>
      <c r="F24" s="6"/>
      <c r="G24" s="6"/>
      <c r="H24" s="6"/>
      <c r="I24" s="20">
        <v>6</v>
      </c>
      <c r="J24" s="21" t="s">
        <v>49</v>
      </c>
      <c r="K24" s="6"/>
      <c r="L24" s="26">
        <v>207</v>
      </c>
      <c r="M24" s="78"/>
      <c r="N24" s="56"/>
      <c r="O24" s="78">
        <f t="shared" ref="O24:O33" si="0">SUM(I24*L24)</f>
        <v>1242</v>
      </c>
      <c r="R24" s="79">
        <v>6.9</v>
      </c>
      <c r="S24" s="80">
        <v>7</v>
      </c>
    </row>
    <row r="25" spans="1:19" ht="14.25" customHeight="1" x14ac:dyDescent="0.35">
      <c r="A25" s="76">
        <v>3</v>
      </c>
      <c r="B25" s="54"/>
      <c r="C25" s="10" t="s">
        <v>58</v>
      </c>
      <c r="D25" s="10"/>
      <c r="E25" s="10"/>
      <c r="F25" s="10"/>
      <c r="G25" s="10"/>
      <c r="H25" s="10"/>
      <c r="I25" s="54">
        <v>6</v>
      </c>
      <c r="J25" s="55" t="s">
        <v>87</v>
      </c>
      <c r="K25" s="10"/>
      <c r="L25" s="56">
        <v>60</v>
      </c>
      <c r="M25" s="78"/>
      <c r="N25" s="56"/>
      <c r="O25" s="78">
        <f t="shared" si="0"/>
        <v>360</v>
      </c>
      <c r="S25" s="80">
        <v>120</v>
      </c>
    </row>
    <row r="26" spans="1:19" ht="14.25" customHeight="1" x14ac:dyDescent="0.35">
      <c r="A26" s="76">
        <v>4</v>
      </c>
      <c r="B26" s="54"/>
      <c r="C26" s="184" t="s">
        <v>239</v>
      </c>
      <c r="D26" s="10"/>
      <c r="E26" s="10"/>
      <c r="F26" s="10"/>
      <c r="G26" s="10"/>
      <c r="H26" s="10"/>
      <c r="I26" s="54">
        <v>10</v>
      </c>
      <c r="J26" s="55" t="s">
        <v>51</v>
      </c>
      <c r="K26" s="10"/>
      <c r="L26" s="56">
        <v>62.5</v>
      </c>
      <c r="M26" s="78"/>
      <c r="N26" s="56"/>
      <c r="O26" s="78">
        <f t="shared" si="0"/>
        <v>625</v>
      </c>
    </row>
    <row r="27" spans="1:19" ht="14.25" customHeight="1" x14ac:dyDescent="0.35">
      <c r="A27" s="76">
        <v>5</v>
      </c>
      <c r="B27" s="54"/>
      <c r="C27" s="184" t="s">
        <v>52</v>
      </c>
      <c r="D27" s="10"/>
      <c r="E27" s="10"/>
      <c r="F27" s="10"/>
      <c r="G27" s="10"/>
      <c r="H27" s="10"/>
      <c r="I27" s="54">
        <v>6</v>
      </c>
      <c r="J27" s="55" t="s">
        <v>53</v>
      </c>
      <c r="K27" s="10"/>
      <c r="L27" s="56">
        <v>120</v>
      </c>
      <c r="M27" s="78"/>
      <c r="N27" s="56"/>
      <c r="O27" s="78">
        <f t="shared" si="0"/>
        <v>720</v>
      </c>
    </row>
    <row r="28" spans="1:19" ht="14.25" customHeight="1" x14ac:dyDescent="0.35">
      <c r="A28" s="76">
        <v>6</v>
      </c>
      <c r="B28" s="54"/>
      <c r="C28" s="184" t="s">
        <v>129</v>
      </c>
      <c r="D28" s="10"/>
      <c r="E28" s="10"/>
      <c r="F28" s="10"/>
      <c r="G28" s="10"/>
      <c r="H28" s="10"/>
      <c r="I28" s="54">
        <v>6</v>
      </c>
      <c r="J28" s="55" t="s">
        <v>49</v>
      </c>
      <c r="K28" s="10"/>
      <c r="L28" s="56">
        <v>261</v>
      </c>
      <c r="M28" s="78"/>
      <c r="N28" s="56"/>
      <c r="O28" s="78">
        <f t="shared" si="0"/>
        <v>1566</v>
      </c>
    </row>
    <row r="29" spans="1:19" ht="14.25" customHeight="1" x14ac:dyDescent="0.35">
      <c r="A29" s="76">
        <v>7</v>
      </c>
      <c r="B29" s="54"/>
      <c r="C29" s="184" t="s">
        <v>81</v>
      </c>
      <c r="D29" s="10"/>
      <c r="E29" s="10"/>
      <c r="F29" s="10"/>
      <c r="G29" s="10"/>
      <c r="H29" s="10"/>
      <c r="I29" s="54">
        <v>6</v>
      </c>
      <c r="J29" s="55" t="s">
        <v>55</v>
      </c>
      <c r="K29" s="10"/>
      <c r="L29" s="56">
        <v>275</v>
      </c>
      <c r="M29" s="78"/>
      <c r="N29" s="56"/>
      <c r="O29" s="78">
        <f t="shared" si="0"/>
        <v>1650</v>
      </c>
    </row>
    <row r="30" spans="1:19" ht="14.25" customHeight="1" x14ac:dyDescent="0.35">
      <c r="A30" s="76">
        <v>8</v>
      </c>
      <c r="B30" s="54"/>
      <c r="C30" s="184" t="s">
        <v>564</v>
      </c>
      <c r="D30" s="10"/>
      <c r="E30" s="10"/>
      <c r="F30" s="10"/>
      <c r="G30" s="10"/>
      <c r="H30" s="10"/>
      <c r="I30" s="54">
        <v>6</v>
      </c>
      <c r="J30" s="55" t="s">
        <v>84</v>
      </c>
      <c r="K30" s="10"/>
      <c r="L30" s="56">
        <v>175</v>
      </c>
      <c r="M30" s="78"/>
      <c r="N30" s="56"/>
      <c r="O30" s="78">
        <f t="shared" si="0"/>
        <v>1050</v>
      </c>
    </row>
    <row r="31" spans="1:19" ht="14.25" customHeight="1" x14ac:dyDescent="0.35">
      <c r="A31" s="76">
        <v>9</v>
      </c>
      <c r="B31" s="54"/>
      <c r="C31" s="184" t="s">
        <v>565</v>
      </c>
      <c r="D31" s="10"/>
      <c r="E31" s="10"/>
      <c r="F31" s="10"/>
      <c r="G31" s="10"/>
      <c r="H31" s="10"/>
      <c r="I31" s="54">
        <v>1</v>
      </c>
      <c r="J31" s="55" t="s">
        <v>47</v>
      </c>
      <c r="K31" s="10"/>
      <c r="L31" s="56">
        <v>1141</v>
      </c>
      <c r="M31" s="78"/>
      <c r="N31" s="56"/>
      <c r="O31" s="78">
        <f t="shared" si="0"/>
        <v>1141</v>
      </c>
    </row>
    <row r="32" spans="1:19" ht="14.25" customHeight="1" x14ac:dyDescent="0.35">
      <c r="A32" s="76">
        <v>10</v>
      </c>
      <c r="B32" s="54"/>
      <c r="C32" s="161" t="s">
        <v>423</v>
      </c>
      <c r="D32" s="10"/>
      <c r="E32" s="10"/>
      <c r="F32" s="10"/>
      <c r="G32" s="10"/>
      <c r="H32" s="10"/>
      <c r="I32" s="54">
        <v>3</v>
      </c>
      <c r="J32" s="55" t="s">
        <v>84</v>
      </c>
      <c r="K32" s="10"/>
      <c r="L32" s="56">
        <v>410</v>
      </c>
      <c r="M32" s="78"/>
      <c r="N32" s="56"/>
      <c r="O32" s="78">
        <f t="shared" si="0"/>
        <v>1230</v>
      </c>
    </row>
    <row r="33" spans="1:15" ht="14.25" customHeight="1" x14ac:dyDescent="0.35">
      <c r="A33" s="76"/>
      <c r="B33" s="54"/>
      <c r="C33" s="161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20654</v>
      </c>
    </row>
    <row r="55" spans="1:15" ht="14.25" customHeight="1" x14ac:dyDescent="0.35">
      <c r="A55" s="10" t="s">
        <v>566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65</vt:i4>
      </vt:variant>
    </vt:vector>
  </HeadingPairs>
  <TitlesOfParts>
    <vt:vector size="130" baseType="lpstr">
      <vt:lpstr>Inv1661-1-2 Yew Seng</vt:lpstr>
      <vt:lpstr>Inv1662 Truck &amp; Dash</vt:lpstr>
      <vt:lpstr>Inv1663 Fibra Sahih</vt:lpstr>
      <vt:lpstr>Inv1664 Welltech</vt:lpstr>
      <vt:lpstr>Inv1665 Sunfiber</vt:lpstr>
      <vt:lpstr>Inv1666 Welltech</vt:lpstr>
      <vt:lpstr>Inv1667 Cash Razzak</vt:lpstr>
      <vt:lpstr>Inv1668 Welltech</vt:lpstr>
      <vt:lpstr>Inv1669 Kelnico</vt:lpstr>
      <vt:lpstr>Inv1670 Desuki</vt:lpstr>
      <vt:lpstr>Inv1671 Welltech</vt:lpstr>
      <vt:lpstr>Inv1672 Pandian</vt:lpstr>
      <vt:lpstr>Inv1673 Sunfiber</vt:lpstr>
      <vt:lpstr>Inv1674 YL</vt:lpstr>
      <vt:lpstr>Inv1675 Welltech</vt:lpstr>
      <vt:lpstr>Inv1676 PMC</vt:lpstr>
      <vt:lpstr>Inv1677 Welltech</vt:lpstr>
      <vt:lpstr>Inv1678 Fibra Sahih</vt:lpstr>
      <vt:lpstr>Inv1679 Welltech</vt:lpstr>
      <vt:lpstr>Inv1680-1-2 Yew Seng</vt:lpstr>
      <vt:lpstr>Inv1681 YL</vt:lpstr>
      <vt:lpstr>Inv1682 Welltech</vt:lpstr>
      <vt:lpstr>Inv1683 Pioneer</vt:lpstr>
      <vt:lpstr>Inv1684 Sunfiber</vt:lpstr>
      <vt:lpstr>Inv1685 Welltech</vt:lpstr>
      <vt:lpstr>Inv1686 Kelnico</vt:lpstr>
      <vt:lpstr>Inv1687 Kelnico</vt:lpstr>
      <vt:lpstr>Inv1688 Cash Razzak</vt:lpstr>
      <vt:lpstr>Inv1689 Welltech</vt:lpstr>
      <vt:lpstr>Inv1690 Sunfiber</vt:lpstr>
      <vt:lpstr>Inv1691 YL</vt:lpstr>
      <vt:lpstr>Inv1692 Transform </vt:lpstr>
      <vt:lpstr>Inv1693 Welltech</vt:lpstr>
      <vt:lpstr>Inv1694 Pro-Art</vt:lpstr>
      <vt:lpstr>Inv1695 Berkat</vt:lpstr>
      <vt:lpstr>Inv1696 Welltech</vt:lpstr>
      <vt:lpstr>Inv1697 Desuki</vt:lpstr>
      <vt:lpstr>Inv1698 Welltech</vt:lpstr>
      <vt:lpstr>Inv1699 Sunfiber</vt:lpstr>
      <vt:lpstr>Inv1700 Pandian</vt:lpstr>
      <vt:lpstr>Inv1701 Welltech</vt:lpstr>
      <vt:lpstr>Inv1702 Sunfiber </vt:lpstr>
      <vt:lpstr>Inv1703 Pandian</vt:lpstr>
      <vt:lpstr>Inv1704 Selesa</vt:lpstr>
      <vt:lpstr>Inv1705 Berkat</vt:lpstr>
      <vt:lpstr>Inv1706 Welltech </vt:lpstr>
      <vt:lpstr>Inv1707 Yew Seng</vt:lpstr>
      <vt:lpstr>Inv1708 Welltech</vt:lpstr>
      <vt:lpstr>Inv1709 Welltech</vt:lpstr>
      <vt:lpstr>Inv1710 Cash Razzak</vt:lpstr>
      <vt:lpstr>Inv1711 Welltech</vt:lpstr>
      <vt:lpstr>Inv1712 Welltech</vt:lpstr>
      <vt:lpstr>Inv1713-1-2 Yew Seng</vt:lpstr>
      <vt:lpstr>Inv1714 Cash Razzak</vt:lpstr>
      <vt:lpstr>Inv1715 Sunfiber</vt:lpstr>
      <vt:lpstr>Inv1716 Welltech</vt:lpstr>
      <vt:lpstr>Inv1717 YL</vt:lpstr>
      <vt:lpstr>Inv1718 Welltech</vt:lpstr>
      <vt:lpstr>Inv1719 Airebus </vt:lpstr>
      <vt:lpstr>Inv1720 YL</vt:lpstr>
      <vt:lpstr>Inv1721 Berkat</vt:lpstr>
      <vt:lpstr>Inv1722 Welltech</vt:lpstr>
      <vt:lpstr>Inv1723 Sunfiber</vt:lpstr>
      <vt:lpstr>Inv1724 Welltech</vt:lpstr>
      <vt:lpstr>Inv1725 Pro-Art</vt:lpstr>
      <vt:lpstr>'Inv1661-1-2 Yew Seng'!Print_Area</vt:lpstr>
      <vt:lpstr>'Inv1662 Truck &amp; Dash'!Print_Area</vt:lpstr>
      <vt:lpstr>'Inv1663 Fibra Sahih'!Print_Area</vt:lpstr>
      <vt:lpstr>'Inv1664 Welltech'!Print_Area</vt:lpstr>
      <vt:lpstr>'Inv1665 Sunfiber'!Print_Area</vt:lpstr>
      <vt:lpstr>'Inv1666 Welltech'!Print_Area</vt:lpstr>
      <vt:lpstr>'Inv1667 Cash Razzak'!Print_Area</vt:lpstr>
      <vt:lpstr>'Inv1668 Welltech'!Print_Area</vt:lpstr>
      <vt:lpstr>'Inv1669 Kelnico'!Print_Area</vt:lpstr>
      <vt:lpstr>'Inv1670 Desuki'!Print_Area</vt:lpstr>
      <vt:lpstr>'Inv1671 Welltech'!Print_Area</vt:lpstr>
      <vt:lpstr>'Inv1672 Pandian'!Print_Area</vt:lpstr>
      <vt:lpstr>'Inv1673 Sunfiber'!Print_Area</vt:lpstr>
      <vt:lpstr>'Inv1674 YL'!Print_Area</vt:lpstr>
      <vt:lpstr>'Inv1675 Welltech'!Print_Area</vt:lpstr>
      <vt:lpstr>'Inv1676 PMC'!Print_Area</vt:lpstr>
      <vt:lpstr>'Inv1677 Welltech'!Print_Area</vt:lpstr>
      <vt:lpstr>'Inv1678 Fibra Sahih'!Print_Area</vt:lpstr>
      <vt:lpstr>'Inv1679 Welltech'!Print_Area</vt:lpstr>
      <vt:lpstr>'Inv1680-1-2 Yew Seng'!Print_Area</vt:lpstr>
      <vt:lpstr>'Inv1681 YL'!Print_Area</vt:lpstr>
      <vt:lpstr>'Inv1682 Welltech'!Print_Area</vt:lpstr>
      <vt:lpstr>'Inv1683 Pioneer'!Print_Area</vt:lpstr>
      <vt:lpstr>'Inv1684 Sunfiber'!Print_Area</vt:lpstr>
      <vt:lpstr>'Inv1685 Welltech'!Print_Area</vt:lpstr>
      <vt:lpstr>'Inv1686 Kelnico'!Print_Area</vt:lpstr>
      <vt:lpstr>'Inv1687 Kelnico'!Print_Area</vt:lpstr>
      <vt:lpstr>'Inv1688 Cash Razzak'!Print_Area</vt:lpstr>
      <vt:lpstr>'Inv1689 Welltech'!Print_Area</vt:lpstr>
      <vt:lpstr>'Inv1690 Sunfiber'!Print_Area</vt:lpstr>
      <vt:lpstr>'Inv1691 YL'!Print_Area</vt:lpstr>
      <vt:lpstr>'Inv1692 Transform '!Print_Area</vt:lpstr>
      <vt:lpstr>'Inv1693 Welltech'!Print_Area</vt:lpstr>
      <vt:lpstr>'Inv1694 Pro-Art'!Print_Area</vt:lpstr>
      <vt:lpstr>'Inv1695 Berkat'!Print_Area</vt:lpstr>
      <vt:lpstr>'Inv1696 Welltech'!Print_Area</vt:lpstr>
      <vt:lpstr>'Inv1697 Desuki'!Print_Area</vt:lpstr>
      <vt:lpstr>'Inv1698 Welltech'!Print_Area</vt:lpstr>
      <vt:lpstr>'Inv1699 Sunfiber'!Print_Area</vt:lpstr>
      <vt:lpstr>'Inv1700 Pandian'!Print_Area</vt:lpstr>
      <vt:lpstr>'Inv1701 Welltech'!Print_Area</vt:lpstr>
      <vt:lpstr>'Inv1702 Sunfiber '!Print_Area</vt:lpstr>
      <vt:lpstr>'Inv1703 Pandian'!Print_Area</vt:lpstr>
      <vt:lpstr>'Inv1704 Selesa'!Print_Area</vt:lpstr>
      <vt:lpstr>'Inv1705 Berkat'!Print_Area</vt:lpstr>
      <vt:lpstr>'Inv1706 Welltech '!Print_Area</vt:lpstr>
      <vt:lpstr>'Inv1707 Yew Seng'!Print_Area</vt:lpstr>
      <vt:lpstr>'Inv1708 Welltech'!Print_Area</vt:lpstr>
      <vt:lpstr>'Inv1709 Welltech'!Print_Area</vt:lpstr>
      <vt:lpstr>'Inv1710 Cash Razzak'!Print_Area</vt:lpstr>
      <vt:lpstr>'Inv1711 Welltech'!Print_Area</vt:lpstr>
      <vt:lpstr>'Inv1712 Welltech'!Print_Area</vt:lpstr>
      <vt:lpstr>'Inv1713-1-2 Yew Seng'!Print_Area</vt:lpstr>
      <vt:lpstr>'Inv1714 Cash Razzak'!Print_Area</vt:lpstr>
      <vt:lpstr>'Inv1715 Sunfiber'!Print_Area</vt:lpstr>
      <vt:lpstr>'Inv1716 Welltech'!Print_Area</vt:lpstr>
      <vt:lpstr>'Inv1717 YL'!Print_Area</vt:lpstr>
      <vt:lpstr>'Inv1718 Welltech'!Print_Area</vt:lpstr>
      <vt:lpstr>'Inv1719 Airebus '!Print_Area</vt:lpstr>
      <vt:lpstr>'Inv1720 YL'!Print_Area</vt:lpstr>
      <vt:lpstr>'Inv1721 Berkat'!Print_Area</vt:lpstr>
      <vt:lpstr>'Inv1722 Welltech'!Print_Area</vt:lpstr>
      <vt:lpstr>'Inv1723 Sunfiber'!Print_Area</vt:lpstr>
      <vt:lpstr>'Inv1724 Welltech'!Print_Area</vt:lpstr>
      <vt:lpstr>'Inv1725 Pro-Art'!Print_Area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mei yoo</dc:creator>
  <cp:lastModifiedBy>mei mei yoo</cp:lastModifiedBy>
  <cp:lastPrinted>2026-09-04T17:49:25Z</cp:lastPrinted>
  <dcterms:created xsi:type="dcterms:W3CDTF">2026-08-13T06:40:29Z</dcterms:created>
  <dcterms:modified xsi:type="dcterms:W3CDTF">2026-09-05T02:55:03Z</dcterms:modified>
</cp:coreProperties>
</file>